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QIB" sheetId="1" r:id="rId4"/>
    <sheet state="visible" name="ZEESHAN" sheetId="2" r:id="rId5"/>
    <sheet state="visible" name="HAMID" sheetId="3" r:id="rId6"/>
    <sheet state="visible" name="vacant" sheetId="4" r:id="rId7"/>
    <sheet state="visible" name="SHAHEER" sheetId="5" r:id="rId8"/>
    <sheet state="visible" name="EHTISHAM" sheetId="6" r:id="rId9"/>
    <sheet state="visible" name="NAFEES" sheetId="7" r:id="rId10"/>
    <sheet state="visible" name="TOUSEEF" sheetId="8" r:id="rId11"/>
    <sheet state="visible" name="AYAZ" sheetId="9" r:id="rId12"/>
    <sheet state="visible" name="SM" sheetId="10" r:id="rId13"/>
    <sheet state="hidden" name="WEEKLY FINDINGD" sheetId="11" r:id="rId14"/>
  </sheets>
  <definedNames/>
  <calcPr/>
</workbook>
</file>

<file path=xl/sharedStrings.xml><?xml version="1.0" encoding="utf-8"?>
<sst xmlns="http://schemas.openxmlformats.org/spreadsheetml/2006/main" count="689" uniqueCount="114">
  <si>
    <t>CURATECH PHARMA (PVT) LTD</t>
  </si>
  <si>
    <t xml:space="preserve">SUMMARY OF (MIO) TARGET JULY-2025 </t>
  </si>
  <si>
    <t>MUHAMMAD SAQIB  (MIO)</t>
  </si>
  <si>
    <t>SR.NO</t>
  </si>
  <si>
    <t>PRODUCT NAME</t>
  </si>
  <si>
    <t>PACK SIZE</t>
  </si>
  <si>
    <t>RATE</t>
  </si>
  <si>
    <t xml:space="preserve">MONTHLY PER HEAD  TGT </t>
  </si>
  <si>
    <t>1 TO 7</t>
  </si>
  <si>
    <t>8 TO 14</t>
  </si>
  <si>
    <t>15 T0 21</t>
  </si>
  <si>
    <t>22 TO 28</t>
  </si>
  <si>
    <t>TOTAL</t>
  </si>
  <si>
    <t>TGT UNITS</t>
  </si>
  <si>
    <t>ACHI</t>
  </si>
  <si>
    <t>%</t>
  </si>
  <si>
    <t>Curaxone 250mg IM</t>
  </si>
  <si>
    <t>1 Vial</t>
  </si>
  <si>
    <t>Curaxone 500mg IV</t>
  </si>
  <si>
    <t>Curaxone IG IV</t>
  </si>
  <si>
    <t>Mecoline 500mcg 20's</t>
  </si>
  <si>
    <t>20's</t>
  </si>
  <si>
    <t>Mecoline 500mcg 100's</t>
  </si>
  <si>
    <t>100's</t>
  </si>
  <si>
    <t>SUDROPROXIM TAB</t>
  </si>
  <si>
    <t>SUDROPROXIM FORTE TAB</t>
  </si>
  <si>
    <t>TECHFEN P Tab 50mg</t>
  </si>
  <si>
    <t xml:space="preserve">Zicure 250mg Cap 10's </t>
  </si>
  <si>
    <t>10's</t>
  </si>
  <si>
    <t>Zicure 250mg Cap 6's</t>
  </si>
  <si>
    <t>6's</t>
  </si>
  <si>
    <t xml:space="preserve">Curatral 100mg Cap </t>
  </si>
  <si>
    <t>4's</t>
  </si>
  <si>
    <t>TECHFEN SR  Tab 100mg</t>
  </si>
  <si>
    <t>30's</t>
  </si>
  <si>
    <t>Curalov 6.25mg Tab</t>
  </si>
  <si>
    <t>Curalov 25mg Tab</t>
  </si>
  <si>
    <t xml:space="preserve">Pirotech 20mg Tab </t>
  </si>
  <si>
    <t>Total Life Line Group Units</t>
  </si>
  <si>
    <t>Total Life Line Group Value</t>
  </si>
  <si>
    <t xml:space="preserve">Signature: </t>
  </si>
  <si>
    <t xml:space="preserve">SUMMARY OF (MIO) TARGET  JULY-2025 </t>
  </si>
  <si>
    <t>ZEESHAN (MIO)</t>
  </si>
  <si>
    <t xml:space="preserve">SUMMARY OF (A.ASM) TARGET  JULY-2025 </t>
  </si>
  <si>
    <t>HAMID MUKHTAR (A.ASM)</t>
  </si>
  <si>
    <t>EHTISHAM RAFIQ (AASM)</t>
  </si>
  <si>
    <t xml:space="preserve">SUMMARY OF (A.ASMs) TARGET  JULY-2025 </t>
  </si>
  <si>
    <t>SHAHEER GHOUS (MIO)</t>
  </si>
  <si>
    <t xml:space="preserve">SUMMARY OF (A.ASM) TARGET JULY-2025 </t>
  </si>
  <si>
    <t>EHTISHAM RAFIQ (A.ASM)</t>
  </si>
  <si>
    <t xml:space="preserve">SUMMARY OF (MIO) TARGET  August-2025 </t>
  </si>
  <si>
    <t>NAFEES (MIO)</t>
  </si>
  <si>
    <t>TOUSEEF (MIO)</t>
  </si>
  <si>
    <t>AYAZ LARIK (A.ASM)</t>
  </si>
  <si>
    <t xml:space="preserve">SUMMARY OF WEEK WISE  TARGET Vs ACHIEVEMENT  </t>
  </si>
  <si>
    <t>M.FAHAD SADDIQUI (SM-KHI-1)</t>
  </si>
  <si>
    <t>S</t>
  </si>
  <si>
    <t>1 T0 7</t>
  </si>
  <si>
    <t>1 TO 14</t>
  </si>
  <si>
    <t>1 TO 21</t>
  </si>
  <si>
    <t>1 TO 28</t>
  </si>
  <si>
    <t>TOTAL  14TH OF JULY25</t>
  </si>
  <si>
    <t>2ND WEEK</t>
  </si>
  <si>
    <t>3rd WEEK</t>
  </si>
  <si>
    <t>4RTH WEEK</t>
  </si>
  <si>
    <t>LACTAXIN 250MG</t>
  </si>
  <si>
    <t>LACTAXIN 500MG</t>
  </si>
  <si>
    <t xml:space="preserve">TOTAL RESCUE GROUP UNITS </t>
  </si>
  <si>
    <t>TOTAL RESCUE GROUP VALUE</t>
  </si>
  <si>
    <t>CURATECH PHARMA (PVT) LTD (RESCUE GROUP)</t>
  </si>
  <si>
    <t>A-WEEKLY SALE ANALYSIS MONTH OF JUNE-25</t>
  </si>
  <si>
    <t>NAME</t>
  </si>
  <si>
    <t xml:space="preserve">Mr. MUHAMMAD FAHAD </t>
  </si>
  <si>
    <t>Sr.
No</t>
  </si>
  <si>
    <t>PRODUCT</t>
  </si>
  <si>
    <t>Pack Size</t>
  </si>
  <si>
    <t>Price</t>
  </si>
  <si>
    <t>15 TO 21</t>
  </si>
  <si>
    <t>Total Closing</t>
  </si>
  <si>
    <t>TGT
1st Week</t>
  </si>
  <si>
    <t>ACH 1st 
Week</t>
  </si>
  <si>
    <t>Findings/Reasons/Commitments</t>
  </si>
  <si>
    <t>TGT
2nd Week</t>
  </si>
  <si>
    <t>ACH
2nd Week</t>
  </si>
  <si>
    <t>Only 2nd Week
Ach</t>
  </si>
  <si>
    <t>Feed Back</t>
  </si>
  <si>
    <t>TGT
3rd Week</t>
  </si>
  <si>
    <t>ACH
3rd Week</t>
  </si>
  <si>
    <t>Only 3rd Week
Ach</t>
  </si>
  <si>
    <t>TGT
4rth Week</t>
  </si>
  <si>
    <t xml:space="preserve">ACH
4rth Week </t>
  </si>
  <si>
    <t>Only 4rth Week
Ach</t>
  </si>
  <si>
    <t>PRODUCTS WISE CLOSING FINDINGS/REMARKS                      CURAXONE 250/550/1GM</t>
  </si>
  <si>
    <t>GIVEN TASK TO TEAM DR.MAQSOOD AND DR.RIZWAN ,MUKHTAR M/S,MARWAT HOSPITAL</t>
  </si>
  <si>
    <t xml:space="preserve">DISCUSS TO AMEERZADA L FOR 250MG AND 500MG 252 PACKS </t>
  </si>
  <si>
    <t>DISCUSSION IS ONGOING WITH TWO NEW CUSTOMERS FOR BULK PURCHASING OF 1 GM.</t>
  </si>
  <si>
    <t>Mecoline 500mcg 20's/100's</t>
  </si>
  <si>
    <t>VISIT AL SEHAT FOR MAKING MECOLINE 20,S 10 PACK ALSO FIND NEW CUSTOMERS.</t>
  </si>
  <si>
    <t>VISIT CHOUHAN M/S,STARE M/S MASHALLAH M/S ALMUSTAFA HOSP,OMER M/S FOR INCREASE UNITS</t>
  </si>
  <si>
    <t xml:space="preserve">SUDROPROXIM FORTE </t>
  </si>
  <si>
    <t>VISIT MUSTAFA M/S MASHALLAH M/S,FARWA CLINIC,SAAD M/S MADINA M/S,MUGHAL M/S FOR INCREAS UNITS.</t>
  </si>
  <si>
    <t>INCEASAE UNITS TILL NEXT WEEK DUE TO DISCUSS DK AND NESTRO PHARMA.</t>
  </si>
  <si>
    <t>Zicure 250mg Cap 10's / 6's</t>
  </si>
  <si>
    <t>NO RESPONSE FORM W/SELLERS FIND NEW CUSTOMER FOR BULK PURCHASING.</t>
  </si>
  <si>
    <t>NO RESPONSE FORM RETAILERS FIND NEW CUSTOMER FOR BULK PURCHASING.</t>
  </si>
  <si>
    <t>1's</t>
  </si>
  <si>
    <t>OUR SALE IS VERY SLOW DUE TO  ITRASRCH VAILABLE NET 75 .</t>
  </si>
  <si>
    <t xml:space="preserve">TECHFEN SR 100 Tab </t>
  </si>
  <si>
    <t>FIND CUSTOMERS FOR INCREASE UNITS.</t>
  </si>
  <si>
    <t>Curalov 6.25mg Tab / 25mg</t>
  </si>
  <si>
    <t>SALE IS STOP DUE TO DEMOLISH SHOPS FRONT OF JPMC.TRY TO INTENR IN NICVD FOR BULK PURCHASEING.</t>
  </si>
  <si>
    <t>INCREASE SALE TILL NEXT WEEK.</t>
  </si>
  <si>
    <t>TOTAL UNITS RESCUE GROUP</t>
  </si>
  <si>
    <t>TOTAL VALUE RESCUE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</si>
</sst>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[$-409]mmmm\-yy"/>
  </numFmts>
  <fonts count="24">
    <font>
      <sz val="11.0"/>
      <color rgb="FF000000"/>
      <name val="Calibri"/>
      <scheme val="minor"/>
    </font>
    <font>
      <b/>
      <sz val="24.0"/>
      <color rgb="FF000000"/>
      <name val="Calibri"/>
    </font>
    <font>
      <b/>
      <sz val="20.0"/>
      <color rgb="FF000000"/>
      <name val="Calibri"/>
    </font>
    <font>
      <b/>
      <sz val="18.0"/>
      <color rgb="FF000000"/>
      <name val="Calibri"/>
    </font>
    <font>
      <b/>
      <sz val="12.0"/>
      <color rgb="FF000000"/>
      <name val="Calibri"/>
    </font>
    <font>
      <b/>
      <sz val="16.0"/>
      <color rgb="FF000000"/>
      <name val="Calibri"/>
    </font>
    <font/>
    <font>
      <sz val="14.0"/>
      <color rgb="FF000000"/>
      <name val="Calibri"/>
    </font>
    <font>
      <sz val="11.0"/>
      <color rgb="FF000000"/>
      <name val="Calibri"/>
    </font>
    <font>
      <b/>
      <sz val="14.0"/>
      <color rgb="FF000000"/>
      <name val="Calibri"/>
    </font>
    <font>
      <sz val="16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  <font>
      <sz val="36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0.0"/>
      <color rgb="FF000000"/>
      <name val="Calibri"/>
    </font>
    <font>
      <b/>
      <sz val="22.0"/>
      <color rgb="FF000000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b/>
      <sz val="22.0"/>
      <color theme="1"/>
      <name val="Calibri"/>
    </font>
    <font>
      <sz val="10.0"/>
      <color rgb="FF000000"/>
      <name val="Calibri"/>
    </font>
    <font>
      <b/>
      <sz val="24.0"/>
      <color theme="1"/>
      <name val="Calibri"/>
    </font>
    <font>
      <b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rgb="FF29B95C"/>
        <bgColor rgb="FF29B95C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</fills>
  <borders count="71">
    <border/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</border>
    <border>
      <left style="medium">
        <color rgb="FF000000"/>
      </left>
      <right/>
      <top style="thin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ont="1">
      <alignment horizontal="center" vertical="center"/>
    </xf>
    <xf borderId="4" fillId="2" fontId="5" numFmtId="17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borderId="8" fillId="2" fontId="4" numFmtId="0" xfId="0" applyAlignment="1" applyBorder="1" applyFont="1">
      <alignment horizontal="center" vertical="center"/>
    </xf>
    <xf borderId="9" fillId="0" fontId="6" numFmtId="0" xfId="0" applyAlignment="1" applyBorder="1" applyFont="1">
      <alignment vertical="center"/>
    </xf>
    <xf borderId="3" fillId="3" fontId="4" numFmtId="0" xfId="0" applyAlignment="1" applyBorder="1" applyFill="1" applyFont="1">
      <alignment horizontal="center" vertical="bottom"/>
    </xf>
    <xf borderId="10" fillId="4" fontId="7" numFmtId="0" xfId="0" applyAlignment="1" applyBorder="1" applyFill="1" applyFont="1">
      <alignment horizontal="center" vertical="bottom"/>
    </xf>
    <xf borderId="11" fillId="4" fontId="7" numFmtId="0" xfId="0" applyAlignment="1" applyBorder="1" applyFont="1">
      <alignment vertical="bottom"/>
    </xf>
    <xf borderId="12" fillId="4" fontId="7" numFmtId="0" xfId="0" applyAlignment="1" applyBorder="1" applyFont="1">
      <alignment horizontal="center" vertical="bottom"/>
    </xf>
    <xf borderId="10" fillId="4" fontId="7" numFmtId="3" xfId="0" applyAlignment="1" applyBorder="1" applyFont="1" applyNumberFormat="1">
      <alignment horizontal="center" vertical="center"/>
    </xf>
    <xf borderId="13" fillId="4" fontId="7" numFmtId="3" xfId="0" applyAlignment="1" applyBorder="1" applyFont="1" applyNumberFormat="1">
      <alignment horizontal="center" vertical="center"/>
    </xf>
    <xf borderId="10" fillId="4" fontId="7" numFmtId="3" xfId="0" applyAlignment="1" applyBorder="1" applyFont="1" applyNumberFormat="1">
      <alignment horizontal="center" vertical="bottom"/>
    </xf>
    <xf borderId="11" fillId="4" fontId="7" numFmtId="3" xfId="0" applyAlignment="1" applyBorder="1" applyFont="1" applyNumberFormat="1">
      <alignment horizontal="center" vertical="bottom"/>
    </xf>
    <xf borderId="13" fillId="4" fontId="7" numFmtId="3" xfId="0" applyAlignment="1" applyBorder="1" applyFont="1" applyNumberFormat="1">
      <alignment horizontal="center" vertical="bottom"/>
    </xf>
    <xf borderId="10" fillId="4" fontId="7" numFmtId="9" xfId="0" applyAlignment="1" applyBorder="1" applyFont="1" applyNumberFormat="1">
      <alignment horizontal="center" vertical="bottom"/>
    </xf>
    <xf borderId="14" fillId="4" fontId="7" numFmtId="3" xfId="0" applyAlignment="1" applyBorder="1" applyFont="1" applyNumberFormat="1">
      <alignment horizontal="center" vertical="bottom"/>
    </xf>
    <xf borderId="14" fillId="4" fontId="7" numFmtId="3" xfId="0" applyAlignment="1" applyBorder="1" applyFont="1" applyNumberFormat="1">
      <alignment horizontal="center" vertical="center"/>
    </xf>
    <xf borderId="11" fillId="4" fontId="7" numFmtId="9" xfId="0" applyAlignment="1" applyBorder="1" applyFont="1" applyNumberFormat="1">
      <alignment horizontal="center" vertical="bottom"/>
    </xf>
    <xf borderId="0" fillId="0" fontId="8" numFmtId="10" xfId="0" applyAlignment="1" applyFont="1" applyNumberFormat="1">
      <alignment vertical="bottom"/>
    </xf>
    <xf borderId="15" fillId="4" fontId="7" numFmtId="0" xfId="0" applyAlignment="1" applyBorder="1" applyFont="1">
      <alignment horizontal="center" vertical="bottom"/>
    </xf>
    <xf borderId="16" fillId="4" fontId="7" numFmtId="0" xfId="0" applyAlignment="1" applyBorder="1" applyFont="1">
      <alignment vertical="bottom"/>
    </xf>
    <xf borderId="17" fillId="4" fontId="7" numFmtId="0" xfId="0" applyAlignment="1" applyBorder="1" applyFont="1">
      <alignment horizontal="center" vertical="bottom"/>
    </xf>
    <xf borderId="15" fillId="4" fontId="7" numFmtId="3" xfId="0" applyAlignment="1" applyBorder="1" applyFont="1" applyNumberFormat="1">
      <alignment horizontal="center" vertical="center"/>
    </xf>
    <xf borderId="15" fillId="4" fontId="7" numFmtId="3" xfId="0" applyAlignment="1" applyBorder="1" applyFont="1" applyNumberFormat="1">
      <alignment horizontal="center" vertical="bottom"/>
    </xf>
    <xf borderId="16" fillId="4" fontId="7" numFmtId="3" xfId="0" applyAlignment="1" applyBorder="1" applyFont="1" applyNumberFormat="1">
      <alignment horizontal="center" vertical="bottom"/>
    </xf>
    <xf borderId="15" fillId="4" fontId="7" numFmtId="9" xfId="0" applyAlignment="1" applyBorder="1" applyFont="1" applyNumberFormat="1">
      <alignment horizontal="center" vertical="bottom"/>
    </xf>
    <xf borderId="18" fillId="4" fontId="7" numFmtId="0" xfId="0" applyAlignment="1" applyBorder="1" applyFont="1">
      <alignment horizontal="center" vertical="bottom"/>
    </xf>
    <xf borderId="19" fillId="4" fontId="7" numFmtId="0" xfId="0" applyAlignment="1" applyBorder="1" applyFont="1">
      <alignment vertical="bottom"/>
    </xf>
    <xf borderId="20" fillId="4" fontId="7" numFmtId="0" xfId="0" applyAlignment="1" applyBorder="1" applyFont="1">
      <alignment horizontal="center" vertical="bottom"/>
    </xf>
    <xf borderId="18" fillId="4" fontId="7" numFmtId="3" xfId="0" applyAlignment="1" applyBorder="1" applyFont="1" applyNumberFormat="1">
      <alignment horizontal="center" vertical="center"/>
    </xf>
    <xf borderId="21" fillId="4" fontId="7" numFmtId="3" xfId="0" applyAlignment="1" applyBorder="1" applyFont="1" applyNumberFormat="1">
      <alignment horizontal="center" vertical="center"/>
    </xf>
    <xf borderId="18" fillId="4" fontId="7" numFmtId="3" xfId="0" applyAlignment="1" applyBorder="1" applyFont="1" applyNumberFormat="1">
      <alignment horizontal="center" vertical="bottom"/>
    </xf>
    <xf borderId="19" fillId="4" fontId="7" numFmtId="3" xfId="0" applyAlignment="1" applyBorder="1" applyFont="1" applyNumberFormat="1">
      <alignment horizontal="center" vertical="bottom"/>
    </xf>
    <xf borderId="18" fillId="4" fontId="7" numFmtId="9" xfId="0" applyAlignment="1" applyBorder="1" applyFont="1" applyNumberFormat="1">
      <alignment horizontal="center" vertical="bottom"/>
    </xf>
    <xf borderId="4" fillId="5" fontId="5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center"/>
    </xf>
    <xf borderId="9" fillId="0" fontId="9" numFmtId="3" xfId="0" applyAlignment="1" applyBorder="1" applyFont="1" applyNumberFormat="1">
      <alignment horizontal="center" vertical="center"/>
    </xf>
    <xf borderId="22" fillId="4" fontId="7" numFmtId="3" xfId="0" applyAlignment="1" applyBorder="1" applyFont="1" applyNumberFormat="1">
      <alignment horizontal="center" vertical="center"/>
    </xf>
    <xf borderId="23" fillId="4" fontId="9" numFmtId="3" xfId="0" applyAlignment="1" applyBorder="1" applyFont="1" applyNumberFormat="1">
      <alignment horizontal="center" vertical="center"/>
    </xf>
    <xf borderId="8" fillId="4" fontId="9" numFmtId="3" xfId="0" applyAlignment="1" applyBorder="1" applyFont="1" applyNumberFormat="1">
      <alignment horizontal="center" vertical="center"/>
    </xf>
    <xf borderId="8" fillId="4" fontId="9" numFmtId="9" xfId="0" applyAlignment="1" applyBorder="1" applyFont="1" applyNumberFormat="1">
      <alignment horizontal="center" vertical="center"/>
    </xf>
    <xf borderId="24" fillId="0" fontId="9" numFmtId="3" xfId="0" applyAlignment="1" applyBorder="1" applyFont="1" applyNumberFormat="1">
      <alignment horizontal="center" vertical="center"/>
    </xf>
    <xf borderId="23" fillId="4" fontId="7" numFmtId="3" xfId="0" applyAlignment="1" applyBorder="1" applyFont="1" applyNumberFormat="1">
      <alignment horizontal="center" vertical="bottom"/>
    </xf>
    <xf borderId="25" fillId="4" fontId="9" numFmtId="3" xfId="0" applyAlignment="1" applyBorder="1" applyFont="1" applyNumberFormat="1">
      <alignment horizontal="center" vertical="center"/>
    </xf>
    <xf borderId="26" fillId="4" fontId="7" numFmtId="3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27" fillId="5" fontId="5" numFmtId="3" xfId="0" applyAlignment="1" applyBorder="1" applyFont="1" applyNumberFormat="1">
      <alignment horizontal="center" vertical="center"/>
    </xf>
    <xf borderId="28" fillId="5" fontId="5" numFmtId="3" xfId="0" applyAlignment="1" applyBorder="1" applyFont="1" applyNumberFormat="1">
      <alignment horizontal="center" vertical="center"/>
    </xf>
    <xf borderId="28" fillId="5" fontId="5" numFmtId="9" xfId="0" applyAlignment="1" applyBorder="1" applyFont="1" applyNumberFormat="1">
      <alignment horizontal="center" vertical="center"/>
    </xf>
    <xf borderId="29" fillId="5" fontId="9" numFmtId="9" xfId="0" applyAlignment="1" applyBorder="1" applyFont="1" applyNumberFormat="1">
      <alignment horizontal="center" vertical="bottom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29" fillId="5" fontId="5" numFmtId="9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8" numFmtId="3" xfId="0" applyAlignment="1" applyFont="1" applyNumberFormat="1">
      <alignment vertical="bottom"/>
    </xf>
    <xf borderId="0" fillId="0" fontId="8" numFmtId="0" xfId="0" applyAlignment="1" applyFont="1">
      <alignment horizontal="left" vertical="top"/>
    </xf>
    <xf borderId="12" fillId="4" fontId="7" numFmtId="3" xfId="0" applyAlignment="1" applyBorder="1" applyFont="1" applyNumberFormat="1">
      <alignment horizontal="center" vertical="bottom"/>
    </xf>
    <xf borderId="17" fillId="4" fontId="7" numFmtId="3" xfId="0" applyAlignment="1" applyBorder="1" applyFont="1" applyNumberFormat="1">
      <alignment horizontal="center" vertical="bottom"/>
    </xf>
    <xf borderId="20" fillId="4" fontId="7" numFmtId="3" xfId="0" applyAlignment="1" applyBorder="1" applyFont="1" applyNumberFormat="1">
      <alignment horizontal="center" vertical="bottom"/>
    </xf>
    <xf borderId="10" fillId="4" fontId="5" numFmtId="3" xfId="0" applyAlignment="1" applyBorder="1" applyFont="1" applyNumberFormat="1">
      <alignment horizontal="center" vertical="bottom"/>
    </xf>
    <xf borderId="28" fillId="5" fontId="9" numFmtId="3" xfId="0" applyAlignment="1" applyBorder="1" applyFont="1" applyNumberFormat="1">
      <alignment horizontal="center" vertical="center"/>
    </xf>
    <xf borderId="28" fillId="5" fontId="9" numFmtId="9" xfId="0" applyAlignment="1" applyBorder="1" applyFont="1" applyNumberFormat="1">
      <alignment horizontal="center" vertical="center"/>
    </xf>
    <xf borderId="28" fillId="5" fontId="4" numFmtId="3" xfId="0" applyAlignment="1" applyBorder="1" applyFont="1" applyNumberFormat="1">
      <alignment horizontal="center" vertical="center"/>
    </xf>
    <xf borderId="10" fillId="5" fontId="5" numFmtId="3" xfId="0" applyAlignment="1" applyBorder="1" applyFont="1" applyNumberFormat="1">
      <alignment horizontal="center" vertical="bottom"/>
    </xf>
    <xf borderId="29" fillId="5" fontId="4" numFmtId="9" xfId="0" applyAlignment="1" applyBorder="1" applyFont="1" applyNumberFormat="1">
      <alignment horizontal="center" vertical="center"/>
    </xf>
    <xf borderId="30" fillId="2" fontId="5" numFmtId="17" xfId="0" applyAlignment="1" applyBorder="1" applyFont="1" applyNumberFormat="1">
      <alignment horizontal="center" shrinkToFit="0" vertical="center" wrapText="1"/>
    </xf>
    <xf borderId="11" fillId="4" fontId="7" numFmtId="1" xfId="0" applyAlignment="1" applyBorder="1" applyFont="1" applyNumberFormat="1">
      <alignment horizontal="center" vertical="bottom"/>
    </xf>
    <xf borderId="31" fillId="4" fontId="7" numFmtId="3" xfId="0" applyAlignment="1" applyBorder="1" applyFont="1" applyNumberFormat="1">
      <alignment horizontal="center" vertical="bottom"/>
    </xf>
    <xf borderId="32" fillId="4" fontId="7" numFmtId="3" xfId="0" applyAlignment="1" applyBorder="1" applyFont="1" applyNumberFormat="1">
      <alignment horizontal="center" vertical="bottom"/>
    </xf>
    <xf borderId="33" fillId="4" fontId="7" numFmtId="3" xfId="0" applyAlignment="1" applyBorder="1" applyFont="1" applyNumberFormat="1">
      <alignment horizontal="center" vertical="bottom"/>
    </xf>
    <xf borderId="34" fillId="4" fontId="7" numFmtId="9" xfId="0" applyAlignment="1" applyBorder="1" applyFont="1" applyNumberFormat="1">
      <alignment horizontal="center" vertical="bottom"/>
    </xf>
    <xf borderId="28" fillId="4" fontId="9" numFmtId="3" xfId="0" applyAlignment="1" applyBorder="1" applyFont="1" applyNumberFormat="1">
      <alignment horizontal="center" vertical="center"/>
    </xf>
    <xf borderId="27" fillId="4" fontId="9" numFmtId="3" xfId="0" applyAlignment="1" applyBorder="1" applyFont="1" applyNumberFormat="1">
      <alignment horizontal="center" vertical="center"/>
    </xf>
    <xf borderId="28" fillId="4" fontId="9" numFmtId="9" xfId="0" applyAlignment="1" applyBorder="1" applyFont="1" applyNumberFormat="1">
      <alignment horizontal="center" vertical="bottom"/>
    </xf>
    <xf borderId="35" fillId="0" fontId="9" numFmtId="3" xfId="0" applyAlignment="1" applyBorder="1" applyFont="1" applyNumberFormat="1">
      <alignment horizontal="center" vertical="center"/>
    </xf>
    <xf borderId="28" fillId="5" fontId="9" numFmtId="9" xfId="0" applyAlignment="1" applyBorder="1" applyFont="1" applyNumberFormat="1">
      <alignment horizontal="center" vertical="bottom"/>
    </xf>
    <xf borderId="29" fillId="5" fontId="5" numFmtId="3" xfId="0" applyAlignment="1" applyBorder="1" applyFont="1" applyNumberFormat="1">
      <alignment horizontal="center" vertical="center"/>
    </xf>
    <xf borderId="36" fillId="4" fontId="7" numFmtId="3" xfId="0" applyAlignment="1" applyBorder="1" applyFont="1" applyNumberFormat="1">
      <alignment horizontal="center" vertical="bottom"/>
    </xf>
    <xf borderId="37" fillId="4" fontId="7" numFmtId="3" xfId="0" applyAlignment="1" applyBorder="1" applyFont="1" applyNumberFormat="1">
      <alignment horizontal="center" vertical="bottom"/>
    </xf>
    <xf borderId="28" fillId="3" fontId="9" numFmtId="3" xfId="0" applyAlignment="1" applyBorder="1" applyFont="1" applyNumberFormat="1">
      <alignment horizontal="center" vertical="center"/>
    </xf>
    <xf borderId="11" fillId="5" fontId="5" numFmtId="9" xfId="0" applyAlignment="1" applyBorder="1" applyFont="1" applyNumberFormat="1">
      <alignment horizontal="center" vertical="center"/>
    </xf>
    <xf borderId="21" fillId="4" fontId="7" numFmtId="3" xfId="0" applyAlignment="1" applyBorder="1" applyFont="1" applyNumberFormat="1">
      <alignment horizontal="center" vertical="bottom"/>
    </xf>
    <xf borderId="8" fillId="5" fontId="9" numFmtId="3" xfId="0" applyAlignment="1" applyBorder="1" applyFont="1" applyNumberFormat="1">
      <alignment horizontal="center" vertical="center"/>
    </xf>
    <xf borderId="38" fillId="5" fontId="9" numFmtId="3" xfId="0" applyAlignment="1" applyBorder="1" applyFont="1" applyNumberFormat="1">
      <alignment horizontal="center" vertical="center"/>
    </xf>
    <xf borderId="36" fillId="5" fontId="9" numFmtId="3" xfId="0" applyAlignment="1" applyBorder="1" applyFont="1" applyNumberFormat="1">
      <alignment horizontal="center" vertical="center"/>
    </xf>
    <xf borderId="34" fillId="5" fontId="9" numFmtId="9" xfId="0" applyAlignment="1" applyBorder="1" applyFont="1" applyNumberFormat="1">
      <alignment horizontal="center" vertical="bottom"/>
    </xf>
    <xf borderId="39" fillId="4" fontId="7" numFmtId="3" xfId="0" applyAlignment="1" applyBorder="1" applyFont="1" applyNumberFormat="1">
      <alignment horizontal="center" vertical="bottom"/>
    </xf>
    <xf borderId="38" fillId="4" fontId="9" numFmtId="3" xfId="0" applyAlignment="1" applyBorder="1" applyFont="1" applyNumberFormat="1">
      <alignment horizontal="center" vertical="center"/>
    </xf>
    <xf borderId="28" fillId="4" fontId="7" numFmtId="9" xfId="0" applyAlignment="1" applyBorder="1" applyFont="1" applyNumberFormat="1">
      <alignment horizontal="center" vertical="bottom"/>
    </xf>
    <xf borderId="27" fillId="5" fontId="9" numFmtId="3" xfId="0" applyAlignment="1" applyBorder="1" applyFont="1" applyNumberFormat="1">
      <alignment horizontal="center" vertical="center"/>
    </xf>
    <xf borderId="40" fillId="4" fontId="9" numFmtId="1" xfId="0" applyAlignment="1" applyBorder="1" applyFont="1" applyNumberFormat="1">
      <alignment horizontal="center" vertical="center"/>
    </xf>
    <xf borderId="28" fillId="5" fontId="5" numFmtId="0" xfId="0" applyAlignment="1" applyBorder="1" applyFont="1">
      <alignment horizontal="center" vertical="center"/>
    </xf>
    <xf borderId="29" fillId="5" fontId="9" numFmtId="9" xfId="0" applyAlignment="1" applyBorder="1" applyFont="1" applyNumberFormat="1">
      <alignment horizontal="center" vertical="center"/>
    </xf>
    <xf borderId="28" fillId="0" fontId="8" numFmtId="0" xfId="0" applyAlignment="1" applyBorder="1" applyFont="1">
      <alignment vertical="bottom"/>
    </xf>
    <xf borderId="2" fillId="2" fontId="4" numFmtId="0" xfId="0" applyAlignment="1" applyBorder="1" applyFont="1">
      <alignment horizontal="center" vertical="center"/>
    </xf>
    <xf borderId="41" fillId="0" fontId="6" numFmtId="0" xfId="0" applyAlignment="1" applyBorder="1" applyFont="1">
      <alignment vertical="center"/>
    </xf>
    <xf borderId="3" fillId="6" fontId="4" numFmtId="0" xfId="0" applyAlignment="1" applyBorder="1" applyFill="1" applyFont="1">
      <alignment horizontal="center" vertical="bottom"/>
    </xf>
    <xf borderId="28" fillId="4" fontId="7" numFmtId="0" xfId="0" applyAlignment="1" applyBorder="1" applyFont="1">
      <alignment horizontal="center" vertical="bottom"/>
    </xf>
    <xf borderId="29" fillId="4" fontId="7" numFmtId="0" xfId="0" applyAlignment="1" applyBorder="1" applyFont="1">
      <alignment vertical="bottom"/>
    </xf>
    <xf borderId="12" fillId="4" fontId="7" numFmtId="3" xfId="0" applyAlignment="1" applyBorder="1" applyFont="1" applyNumberFormat="1">
      <alignment horizontal="center" vertical="center"/>
    </xf>
    <xf borderId="28" fillId="4" fontId="13" numFmtId="3" xfId="0" applyAlignment="1" applyBorder="1" applyFont="1" applyNumberFormat="1">
      <alignment shrinkToFit="0" textRotation="90" vertical="center" wrapText="1"/>
    </xf>
    <xf borderId="11" fillId="4" fontId="7" numFmtId="3" xfId="0" applyAlignment="1" applyBorder="1" applyFont="1" applyNumberFormat="1">
      <alignment horizontal="center" vertical="center"/>
    </xf>
    <xf borderId="10" fillId="4" fontId="7" numFmtId="9" xfId="0" applyAlignment="1" applyBorder="1" applyFont="1" applyNumberFormat="1">
      <alignment horizontal="center" vertical="center"/>
    </xf>
    <xf borderId="10" fillId="4" fontId="7" numFmtId="0" xfId="0" applyAlignment="1" applyBorder="1" applyFont="1">
      <alignment horizontal="center" vertical="center"/>
    </xf>
    <xf borderId="12" fillId="4" fontId="7" numFmtId="9" xfId="0" applyAlignment="1" applyBorder="1" applyFont="1" applyNumberFormat="1">
      <alignment horizontal="center" vertical="center"/>
    </xf>
    <xf borderId="42" fillId="4" fontId="7" numFmtId="3" xfId="0" applyAlignment="1" applyBorder="1" applyFont="1" applyNumberFormat="1">
      <alignment horizontal="center" vertical="center"/>
    </xf>
    <xf borderId="28" fillId="4" fontId="7" numFmtId="3" xfId="0" applyAlignment="1" applyBorder="1" applyFont="1" applyNumberFormat="1">
      <alignment horizontal="center" vertical="center"/>
    </xf>
    <xf borderId="29" fillId="4" fontId="7" numFmtId="3" xfId="0" applyAlignment="1" applyBorder="1" applyFont="1" applyNumberFormat="1">
      <alignment horizontal="center" vertical="center"/>
    </xf>
    <xf borderId="29" fillId="4" fontId="7" numFmtId="3" xfId="0" applyAlignment="1" applyBorder="1" applyFont="1" applyNumberFormat="1">
      <alignment horizontal="center" vertical="bottom"/>
    </xf>
    <xf borderId="43" fillId="4" fontId="8" numFmtId="3" xfId="0" applyAlignment="1" applyBorder="1" applyFont="1" applyNumberFormat="1">
      <alignment vertical="bottom"/>
    </xf>
    <xf borderId="8" fillId="4" fontId="13" numFmtId="3" xfId="0" applyAlignment="1" applyBorder="1" applyFont="1" applyNumberFormat="1">
      <alignment shrinkToFit="0" textRotation="90" vertical="center" wrapText="1"/>
    </xf>
    <xf borderId="25" fillId="4" fontId="7" numFmtId="0" xfId="0" applyAlignment="1" applyBorder="1" applyFont="1">
      <alignment horizontal="center" vertical="bottom"/>
    </xf>
    <xf borderId="26" fillId="4" fontId="7" numFmtId="0" xfId="0" applyAlignment="1" applyBorder="1" applyFont="1">
      <alignment vertical="bottom"/>
    </xf>
    <xf borderId="44" fillId="4" fontId="7" numFmtId="0" xfId="0" applyAlignment="1" applyBorder="1" applyFont="1">
      <alignment horizontal="center" vertical="bottom"/>
    </xf>
    <xf borderId="45" fillId="5" fontId="5" numFmtId="0" xfId="0" applyAlignment="1" applyBorder="1" applyFont="1">
      <alignment horizontal="center" vertical="center"/>
    </xf>
    <xf borderId="46" fillId="0" fontId="6" numFmtId="0" xfId="0" applyAlignment="1" applyBorder="1" applyFont="1">
      <alignment vertical="center"/>
    </xf>
    <xf borderId="47" fillId="0" fontId="6" numFmtId="0" xfId="0" applyAlignment="1" applyBorder="1" applyFont="1">
      <alignment vertical="center"/>
    </xf>
    <xf borderId="42" fillId="5" fontId="5" numFmtId="3" xfId="0" applyAlignment="1" applyBorder="1" applyFont="1" applyNumberFormat="1">
      <alignment horizontal="center" vertical="center"/>
    </xf>
    <xf borderId="10" fillId="6" fontId="9" numFmtId="1" xfId="0" applyAlignment="1" applyBorder="1" applyFont="1" applyNumberFormat="1">
      <alignment horizontal="center" vertical="center"/>
    </xf>
    <xf borderId="12" fillId="5" fontId="9" numFmtId="3" xfId="0" applyAlignment="1" applyBorder="1" applyFont="1" applyNumberFormat="1">
      <alignment horizontal="center" vertical="center"/>
    </xf>
    <xf borderId="10" fillId="5" fontId="9" numFmtId="9" xfId="0" applyAlignment="1" applyBorder="1" applyFont="1" applyNumberFormat="1">
      <alignment horizontal="center" vertical="center"/>
    </xf>
    <xf borderId="10" fillId="6" fontId="9" numFmtId="0" xfId="0" applyAlignment="1" applyBorder="1" applyFont="1">
      <alignment horizontal="center" vertical="center"/>
    </xf>
    <xf borderId="42" fillId="5" fontId="9" numFmtId="3" xfId="0" applyAlignment="1" applyBorder="1" applyFont="1" applyNumberFormat="1">
      <alignment horizontal="center" vertical="center"/>
    </xf>
    <xf borderId="3" fillId="7" fontId="9" numFmtId="3" xfId="0" applyAlignment="1" applyBorder="1" applyFill="1" applyFont="1" applyNumberFormat="1">
      <alignment horizontal="center" vertical="center"/>
    </xf>
    <xf borderId="28" fillId="6" fontId="9" numFmtId="1" xfId="0" applyAlignment="1" applyBorder="1" applyFont="1" applyNumberFormat="1">
      <alignment horizontal="center" vertical="center"/>
    </xf>
    <xf borderId="28" fillId="7" fontId="9" numFmtId="1" xfId="0" applyAlignment="1" applyBorder="1" applyFont="1" applyNumberFormat="1">
      <alignment horizontal="center" vertical="center"/>
    </xf>
    <xf borderId="0" fillId="0" fontId="14" numFmtId="0" xfId="0" applyAlignment="1" applyFont="1">
      <alignment vertical="center"/>
    </xf>
    <xf borderId="4" fillId="4" fontId="2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vertical="center"/>
    </xf>
    <xf borderId="44" fillId="4" fontId="8" numFmtId="0" xfId="0" applyAlignment="1" applyBorder="1" applyFont="1">
      <alignment vertical="bottom"/>
    </xf>
    <xf borderId="48" fillId="4" fontId="8" numFmtId="0" xfId="0" applyAlignment="1" applyBorder="1" applyFont="1">
      <alignment vertical="bottom"/>
    </xf>
    <xf borderId="48" fillId="4" fontId="15" numFmtId="0" xfId="0" applyAlignment="1" applyBorder="1" applyFont="1">
      <alignment horizontal="left" vertical="center"/>
    </xf>
    <xf borderId="48" fillId="4" fontId="15" numFmtId="0" xfId="0" applyAlignment="1" applyBorder="1" applyFont="1">
      <alignment vertical="center"/>
    </xf>
    <xf borderId="48" fillId="4" fontId="15" numFmtId="0" xfId="0" applyAlignment="1" applyBorder="1" applyFont="1">
      <alignment horizontal="center" vertical="center"/>
    </xf>
    <xf borderId="48" fillId="4" fontId="16" numFmtId="0" xfId="0" applyAlignment="1" applyBorder="1" applyFont="1">
      <alignment horizontal="center" vertical="center"/>
    </xf>
    <xf borderId="26" fillId="4" fontId="15" numFmtId="0" xfId="0" applyAlignment="1" applyBorder="1" applyFont="1">
      <alignment vertical="center"/>
    </xf>
    <xf borderId="8" fillId="3" fontId="17" numFmtId="0" xfId="0" applyAlignment="1" applyBorder="1" applyFont="1">
      <alignment textRotation="90" vertical="center"/>
    </xf>
    <xf borderId="49" fillId="8" fontId="15" numFmtId="164" xfId="0" applyAlignment="1" applyBorder="1" applyFill="1" applyFont="1" applyNumberFormat="1">
      <alignment horizontal="center" shrinkToFit="0" vertical="center" wrapText="1"/>
    </xf>
    <xf borderId="49" fillId="8" fontId="18" numFmtId="164" xfId="0" applyAlignment="1" applyBorder="1" applyFont="1" applyNumberFormat="1">
      <alignment horizontal="center" shrinkToFit="0" vertical="center" wrapText="1"/>
    </xf>
    <xf borderId="50" fillId="8" fontId="18" numFmtId="165" xfId="0" applyAlignment="1" applyBorder="1" applyFont="1" applyNumberFormat="1">
      <alignment horizontal="center" vertical="center"/>
    </xf>
    <xf borderId="51" fillId="0" fontId="6" numFmtId="0" xfId="0" applyAlignment="1" applyBorder="1" applyFont="1">
      <alignment vertical="center"/>
    </xf>
    <xf borderId="52" fillId="0" fontId="6" numFmtId="0" xfId="0" applyAlignment="1" applyBorder="1" applyFont="1">
      <alignment vertical="center"/>
    </xf>
    <xf borderId="25" fillId="8" fontId="18" numFmtId="165" xfId="0" applyAlignment="1" applyBorder="1" applyFont="1" applyNumberFormat="1">
      <alignment horizontal="center" vertical="center"/>
    </xf>
    <xf borderId="44" fillId="8" fontId="19" numFmtId="165" xfId="0" applyAlignment="1" applyBorder="1" applyFont="1" applyNumberFormat="1">
      <alignment horizontal="center" vertical="center"/>
    </xf>
    <xf borderId="4" fillId="8" fontId="18" numFmtId="165" xfId="0" applyAlignment="1" applyBorder="1" applyFont="1" applyNumberFormat="1">
      <alignment horizontal="center" vertical="center"/>
    </xf>
    <xf borderId="26" fillId="8" fontId="19" numFmtId="165" xfId="0" applyAlignment="1" applyBorder="1" applyFont="1" applyNumberFormat="1">
      <alignment horizontal="center" vertical="center"/>
    </xf>
    <xf borderId="25" fillId="8" fontId="18" numFmtId="165" xfId="0" applyAlignment="1" applyBorder="1" applyFont="1" applyNumberFormat="1">
      <alignment vertical="center"/>
    </xf>
    <xf borderId="44" fillId="8" fontId="18" numFmtId="165" xfId="0" applyAlignment="1" applyBorder="1" applyFont="1" applyNumberFormat="1">
      <alignment vertical="center"/>
    </xf>
    <xf borderId="26" fillId="8" fontId="18" numFmtId="165" xfId="0" applyAlignment="1" applyBorder="1" applyFont="1" applyNumberFormat="1">
      <alignment vertical="center"/>
    </xf>
    <xf borderId="28" fillId="8" fontId="18" numFmtId="164" xfId="0" applyAlignment="1" applyBorder="1" applyFont="1" applyNumberFormat="1">
      <alignment horizontal="center" shrinkToFit="0" vertical="center" wrapText="1"/>
    </xf>
    <xf borderId="28" fillId="8" fontId="18" numFmtId="164" xfId="0" applyAlignment="1" applyBorder="1" applyFont="1" applyNumberFormat="1">
      <alignment horizontal="center" vertical="center"/>
    </xf>
    <xf borderId="28" fillId="9" fontId="18" numFmtId="164" xfId="0" applyAlignment="1" applyBorder="1" applyFill="1" applyFont="1" applyNumberFormat="1">
      <alignment horizontal="center" shrinkToFit="0" vertical="center" wrapText="1"/>
    </xf>
    <xf borderId="28" fillId="8" fontId="19" numFmtId="164" xfId="0" applyAlignment="1" applyBorder="1" applyFont="1" applyNumberFormat="1">
      <alignment horizontal="center" vertical="center"/>
    </xf>
    <xf borderId="4" fillId="8" fontId="18" numFmtId="164" xfId="0" applyAlignment="1" applyBorder="1" applyFont="1" applyNumberFormat="1">
      <alignment horizontal="center" shrinkToFit="0" vertical="center" wrapText="1"/>
    </xf>
    <xf borderId="8" fillId="3" fontId="20" numFmtId="0" xfId="0" applyAlignment="1" applyBorder="1" applyFont="1">
      <alignment textRotation="90" vertical="center"/>
    </xf>
    <xf borderId="28" fillId="0" fontId="18" numFmtId="1" xfId="0" applyAlignment="1" applyBorder="1" applyFont="1" applyNumberFormat="1">
      <alignment horizontal="center" shrinkToFit="0" vertical="center" wrapText="1"/>
    </xf>
    <xf borderId="28" fillId="4" fontId="18" numFmtId="0" xfId="0" applyAlignment="1" applyBorder="1" applyFont="1">
      <alignment horizontal="left" shrinkToFit="0" vertical="center" wrapText="1"/>
    </xf>
    <xf borderId="28" fillId="4" fontId="18" numFmtId="0" xfId="0" applyAlignment="1" applyBorder="1" applyFont="1">
      <alignment horizontal="center" shrinkToFit="0" vertical="center" wrapText="1"/>
    </xf>
    <xf borderId="28" fillId="4" fontId="18" numFmtId="2" xfId="0" applyAlignment="1" applyBorder="1" applyFont="1" applyNumberFormat="1">
      <alignment horizontal="center" shrinkToFit="0" vertical="center" wrapText="1"/>
    </xf>
    <xf borderId="28" fillId="4" fontId="8" numFmtId="1" xfId="0" applyAlignment="1" applyBorder="1" applyFont="1" applyNumberFormat="1">
      <alignment horizontal="center" shrinkToFit="0" vertical="center" wrapText="1"/>
    </xf>
    <xf borderId="28" fillId="4" fontId="8" numFmtId="9" xfId="0" applyAlignment="1" applyBorder="1" applyFont="1" applyNumberFormat="1">
      <alignment horizontal="center" shrinkToFit="0" vertical="center" wrapText="1"/>
    </xf>
    <xf borderId="53" fillId="0" fontId="16" numFmtId="1" xfId="0" applyAlignment="1" applyBorder="1" applyFont="1" applyNumberFormat="1">
      <alignment horizontal="left" shrinkToFit="0" vertical="center" wrapText="1"/>
    </xf>
    <xf borderId="28" fillId="9" fontId="8" numFmtId="1" xfId="0" applyAlignment="1" applyBorder="1" applyFont="1" applyNumberFormat="1">
      <alignment horizontal="center" shrinkToFit="0" vertical="center" wrapText="1"/>
    </xf>
    <xf borderId="10" fillId="9" fontId="7" numFmtId="3" xfId="0" applyAlignment="1" applyBorder="1" applyFont="1" applyNumberFormat="1">
      <alignment horizontal="center" vertical="center"/>
    </xf>
    <xf borderId="27" fillId="4" fontId="8" numFmtId="9" xfId="0" applyAlignment="1" applyBorder="1" applyFont="1" applyNumberFormat="1">
      <alignment horizontal="center" shrinkToFit="0" vertical="center" wrapText="1"/>
    </xf>
    <xf borderId="54" fillId="4" fontId="8" numFmtId="3" xfId="0" applyAlignment="1" applyBorder="1" applyFont="1" applyNumberFormat="1">
      <alignment horizontal="center" shrinkToFit="0" vertical="center" wrapText="1"/>
    </xf>
    <xf borderId="55" fillId="0" fontId="6" numFmtId="0" xfId="0" applyAlignment="1" applyBorder="1" applyFont="1">
      <alignment vertical="center"/>
    </xf>
    <xf borderId="56" fillId="0" fontId="6" numFmtId="0" xfId="0" applyAlignment="1" applyBorder="1" applyFont="1">
      <alignment vertical="center"/>
    </xf>
    <xf borderId="15" fillId="0" fontId="16" numFmtId="1" xfId="0" applyAlignment="1" applyBorder="1" applyFont="1" applyNumberFormat="1">
      <alignment horizontal="left" shrinkToFit="0" vertical="center" wrapText="1"/>
    </xf>
    <xf borderId="53" fillId="0" fontId="16" numFmtId="1" xfId="0" applyAlignment="1" applyBorder="1" applyFont="1" applyNumberFormat="1">
      <alignment horizontal="left" vertical="center"/>
    </xf>
    <xf borderId="57" fillId="4" fontId="8" numFmtId="3" xfId="0" applyAlignment="1" applyBorder="1" applyFont="1" applyNumberFormat="1">
      <alignment horizontal="center" shrinkToFit="0" vertical="center" wrapText="1"/>
    </xf>
    <xf borderId="58" fillId="0" fontId="6" numFmtId="0" xfId="0" applyAlignment="1" applyBorder="1" applyFont="1">
      <alignment vertical="center"/>
    </xf>
    <xf borderId="59" fillId="0" fontId="6" numFmtId="0" xfId="0" applyAlignment="1" applyBorder="1" applyFont="1">
      <alignment vertical="center"/>
    </xf>
    <xf borderId="60" fillId="0" fontId="16" numFmtId="0" xfId="0" applyAlignment="1" applyBorder="1" applyFont="1">
      <alignment horizontal="left" shrinkToFit="0" vertical="center" wrapText="1"/>
    </xf>
    <xf borderId="3" fillId="4" fontId="8" numFmtId="1" xfId="0" applyAlignment="1" applyBorder="1" applyFont="1" applyNumberFormat="1">
      <alignment horizontal="center" shrinkToFit="0" vertical="center" wrapText="1"/>
    </xf>
    <xf borderId="3" fillId="9" fontId="8" numFmtId="1" xfId="0" applyAlignment="1" applyBorder="1" applyFont="1" applyNumberFormat="1">
      <alignment horizontal="center" shrinkToFit="0" vertical="center" wrapText="1"/>
    </xf>
    <xf borderId="3" fillId="4" fontId="8" numFmtId="9" xfId="0" applyAlignment="1" applyBorder="1" applyFont="1" applyNumberFormat="1">
      <alignment horizontal="center" shrinkToFit="0" vertical="center" wrapText="1"/>
    </xf>
    <xf borderId="60" fillId="0" fontId="16" numFmtId="1" xfId="0" applyAlignment="1" applyBorder="1" applyFont="1" applyNumberFormat="1">
      <alignment horizontal="left" shrinkToFit="0" vertical="center" wrapText="1"/>
    </xf>
    <xf borderId="3" fillId="4" fontId="7" numFmtId="3" xfId="0" applyAlignment="1" applyBorder="1" applyFont="1" applyNumberFormat="1">
      <alignment horizontal="center" vertical="center"/>
    </xf>
    <xf borderId="3" fillId="9" fontId="7" numFmtId="3" xfId="0" applyAlignment="1" applyBorder="1" applyFont="1" applyNumberFormat="1">
      <alignment horizontal="center" vertical="center"/>
    </xf>
    <xf borderId="42" fillId="4" fontId="7" numFmtId="9" xfId="0" applyAlignment="1" applyBorder="1" applyFont="1" applyNumberFormat="1">
      <alignment horizontal="center" vertical="center"/>
    </xf>
    <xf borderId="3" fillId="4" fontId="7" numFmtId="9" xfId="0" applyAlignment="1" applyBorder="1" applyFont="1" applyNumberFormat="1">
      <alignment horizontal="center" vertical="center"/>
    </xf>
    <xf borderId="61" fillId="4" fontId="8" numFmtId="3" xfId="0" applyAlignment="1" applyBorder="1" applyFont="1" applyNumberFormat="1">
      <alignment horizontal="center" shrinkToFit="0" vertical="center" wrapText="1"/>
    </xf>
    <xf borderId="62" fillId="0" fontId="6" numFmtId="0" xfId="0" applyAlignment="1" applyBorder="1" applyFont="1">
      <alignment vertical="center"/>
    </xf>
    <xf borderId="63" fillId="0" fontId="6" numFmtId="0" xfId="0" applyAlignment="1" applyBorder="1" applyFont="1">
      <alignment vertical="center"/>
    </xf>
    <xf borderId="4" fillId="5" fontId="18" numFmtId="1" xfId="0" applyAlignment="1" applyBorder="1" applyFont="1" applyNumberFormat="1">
      <alignment horizontal="center" shrinkToFit="0" vertical="center" wrapText="1"/>
    </xf>
    <xf borderId="28" fillId="5" fontId="18" numFmtId="2" xfId="0" applyAlignment="1" applyBorder="1" applyFont="1" applyNumberFormat="1">
      <alignment horizontal="center" shrinkToFit="0" vertical="center" wrapText="1"/>
    </xf>
    <xf borderId="28" fillId="5" fontId="15" numFmtId="3" xfId="0" applyAlignment="1" applyBorder="1" applyFont="1" applyNumberFormat="1">
      <alignment horizontal="center" vertical="center"/>
    </xf>
    <xf borderId="28" fillId="5" fontId="8" numFmtId="9" xfId="0" applyAlignment="1" applyBorder="1" applyFont="1" applyNumberFormat="1">
      <alignment horizontal="center" shrinkToFit="0" vertical="center" wrapText="1"/>
    </xf>
    <xf borderId="28" fillId="5" fontId="21" numFmtId="0" xfId="0" applyAlignment="1" applyBorder="1" applyFont="1">
      <alignment horizontal="left" vertical="center"/>
    </xf>
    <xf borderId="28" fillId="5" fontId="8" numFmtId="3" xfId="0" applyAlignment="1" applyBorder="1" applyFont="1" applyNumberFormat="1">
      <alignment horizontal="center" vertical="center"/>
    </xf>
    <xf borderId="28" fillId="5" fontId="11" numFmtId="9" xfId="0" applyAlignment="1" applyBorder="1" applyFont="1" applyNumberFormat="1">
      <alignment horizontal="center" shrinkToFit="0" vertical="center" wrapText="1"/>
    </xf>
    <xf borderId="28" fillId="9" fontId="7" numFmtId="3" xfId="0" applyAlignment="1" applyBorder="1" applyFont="1" applyNumberFormat="1">
      <alignment horizontal="center" vertical="center"/>
    </xf>
    <xf borderId="27" fillId="5" fontId="7" numFmtId="9" xfId="0" applyAlignment="1" applyBorder="1" applyFont="1" applyNumberFormat="1">
      <alignment horizontal="center" vertical="center"/>
    </xf>
    <xf borderId="28" fillId="5" fontId="21" numFmtId="9" xfId="0" applyAlignment="1" applyBorder="1" applyFont="1" applyNumberFormat="1">
      <alignment horizontal="center" shrinkToFit="0" vertical="center" wrapText="1"/>
    </xf>
    <xf borderId="28" fillId="9" fontId="4" numFmtId="1" xfId="0" applyAlignment="1" applyBorder="1" applyFont="1" applyNumberFormat="1">
      <alignment horizontal="center" shrinkToFit="0" vertical="center" wrapText="1"/>
    </xf>
    <xf borderId="27" fillId="5" fontId="8" numFmtId="9" xfId="0" applyAlignment="1" applyBorder="1" applyFont="1" applyNumberFormat="1">
      <alignment horizontal="center" shrinkToFit="0" vertical="center" wrapText="1"/>
    </xf>
    <xf borderId="4" fillId="5" fontId="15" numFmtId="3" xfId="0" applyAlignment="1" applyBorder="1" applyFont="1" applyNumberFormat="1">
      <alignment horizontal="center" shrinkToFit="0" vertical="center" wrapText="1"/>
    </xf>
    <xf borderId="25" fillId="4" fontId="8" numFmtId="1" xfId="0" applyAlignment="1" applyBorder="1" applyFont="1" applyNumberFormat="1">
      <alignment horizontal="center" shrinkToFit="0" vertical="center" wrapText="1"/>
    </xf>
    <xf borderId="25" fillId="9" fontId="8" numFmtId="1" xfId="0" applyAlignment="1" applyBorder="1" applyFont="1" applyNumberFormat="1">
      <alignment horizontal="center" shrinkToFit="0" vertical="center" wrapText="1"/>
    </xf>
    <xf borderId="25" fillId="4" fontId="8" numFmtId="9" xfId="0" applyAlignment="1" applyBorder="1" applyFont="1" applyNumberFormat="1">
      <alignment horizontal="center" shrinkToFit="0" vertical="center" wrapText="1"/>
    </xf>
    <xf borderId="23" fillId="4" fontId="7" numFmtId="3" xfId="0" applyAlignment="1" applyBorder="1" applyFont="1" applyNumberFormat="1">
      <alignment horizontal="center" vertical="center"/>
    </xf>
    <xf borderId="23" fillId="9" fontId="7" numFmtId="3" xfId="0" applyAlignment="1" applyBorder="1" applyFont="1" applyNumberFormat="1">
      <alignment horizontal="center" vertical="center"/>
    </xf>
    <xf borderId="64" fillId="4" fontId="7" numFmtId="9" xfId="0" applyAlignment="1" applyBorder="1" applyFont="1" applyNumberFormat="1">
      <alignment horizontal="center" vertical="center"/>
    </xf>
    <xf borderId="23" fillId="4" fontId="7" numFmtId="9" xfId="0" applyAlignment="1" applyBorder="1" applyFont="1" applyNumberFormat="1">
      <alignment horizontal="center" shrinkToFit="0" vertical="center" wrapText="1"/>
    </xf>
    <xf borderId="65" fillId="4" fontId="8" numFmtId="3" xfId="0" applyAlignment="1" applyBorder="1" applyFont="1" applyNumberFormat="1">
      <alignment horizontal="center" shrinkToFit="0" vertical="center" wrapText="1"/>
    </xf>
    <xf borderId="66" fillId="0" fontId="6" numFmtId="0" xfId="0" applyAlignment="1" applyBorder="1" applyFont="1">
      <alignment vertical="center"/>
    </xf>
    <xf borderId="67" fillId="0" fontId="6" numFmtId="0" xfId="0" applyAlignment="1" applyBorder="1" applyFont="1">
      <alignment vertical="center"/>
    </xf>
    <xf borderId="3" fillId="4" fontId="7" numFmtId="9" xfId="0" applyAlignment="1" applyBorder="1" applyFont="1" applyNumberFormat="1">
      <alignment horizontal="center" shrinkToFit="0" vertical="center" wrapText="1"/>
    </xf>
    <xf borderId="28" fillId="5" fontId="4" numFmtId="0" xfId="0" applyAlignment="1" applyBorder="1" applyFont="1">
      <alignment vertical="bottom"/>
    </xf>
    <xf borderId="28" fillId="5" fontId="4" numFmtId="9" xfId="0" applyAlignment="1" applyBorder="1" applyFont="1" applyNumberFormat="1">
      <alignment horizontal="center" shrinkToFit="0" vertical="center" wrapText="1"/>
    </xf>
    <xf borderId="28" fillId="5" fontId="16" numFmtId="0" xfId="0" applyAlignment="1" applyBorder="1" applyFont="1">
      <alignment horizontal="left" vertical="center"/>
    </xf>
    <xf borderId="28" fillId="9" fontId="9" numFmtId="3" xfId="0" applyAlignment="1" applyBorder="1" applyFont="1" applyNumberFormat="1">
      <alignment horizontal="center" vertical="center"/>
    </xf>
    <xf borderId="27" fillId="5" fontId="9" numFmtId="9" xfId="0" applyAlignment="1" applyBorder="1" applyFont="1" applyNumberFormat="1">
      <alignment horizontal="center" vertical="center"/>
    </xf>
    <xf borderId="27" fillId="5" fontId="4" numFmtId="9" xfId="0" applyAlignment="1" applyBorder="1" applyFont="1" applyNumberFormat="1">
      <alignment horizontal="center" shrinkToFit="0" vertical="center" wrapText="1"/>
    </xf>
    <xf borderId="28" fillId="4" fontId="18" numFmtId="1" xfId="0" applyAlignment="1" applyBorder="1" applyFont="1" applyNumberFormat="1">
      <alignment horizontal="center" shrinkToFit="0" vertical="center" wrapText="1"/>
    </xf>
    <xf borderId="23" fillId="4" fontId="7" numFmtId="9" xfId="0" applyAlignment="1" applyBorder="1" applyFont="1" applyNumberFormat="1">
      <alignment horizontal="center" vertical="center"/>
    </xf>
    <xf borderId="28" fillId="4" fontId="14" numFmtId="1" xfId="0" applyAlignment="1" applyBorder="1" applyFont="1" applyNumberFormat="1">
      <alignment horizontal="center" shrinkToFit="0" vertical="center" wrapText="1"/>
    </xf>
    <xf borderId="28" fillId="5" fontId="8" numFmtId="0" xfId="0" applyAlignment="1" applyBorder="1" applyFont="1">
      <alignment vertical="bottom"/>
    </xf>
    <xf borderId="24" fillId="0" fontId="16" numFmtId="1" xfId="0" applyAlignment="1" applyBorder="1" applyFont="1" applyNumberFormat="1">
      <alignment horizontal="left" shrinkToFit="0" vertical="center" wrapText="1"/>
    </xf>
    <xf borderId="8" fillId="4" fontId="8" numFmtId="1" xfId="0" applyAlignment="1" applyBorder="1" applyFont="1" applyNumberFormat="1">
      <alignment horizontal="center" shrinkToFit="0" vertical="center" wrapText="1"/>
    </xf>
    <xf borderId="8" fillId="9" fontId="8" numFmtId="1" xfId="0" applyAlignment="1" applyBorder="1" applyFont="1" applyNumberFormat="1">
      <alignment horizontal="center" shrinkToFit="0" vertical="center" wrapText="1"/>
    </xf>
    <xf borderId="8" fillId="4" fontId="8" numFmtId="9" xfId="0" applyAlignment="1" applyBorder="1" applyFont="1" applyNumberFormat="1">
      <alignment horizontal="center" shrinkToFit="0" vertical="center" wrapText="1"/>
    </xf>
    <xf borderId="8" fillId="4" fontId="7" numFmtId="3" xfId="0" applyAlignment="1" applyBorder="1" applyFont="1" applyNumberFormat="1">
      <alignment horizontal="center" vertical="center"/>
    </xf>
    <xf borderId="8" fillId="9" fontId="7" numFmtId="3" xfId="0" applyAlignment="1" applyBorder="1" applyFont="1" applyNumberFormat="1">
      <alignment horizontal="center" vertical="center"/>
    </xf>
    <xf borderId="38" fillId="4" fontId="7" numFmtId="9" xfId="0" applyAlignment="1" applyBorder="1" applyFont="1" applyNumberFormat="1">
      <alignment horizontal="center" vertical="center"/>
    </xf>
    <xf borderId="68" fillId="4" fontId="8" numFmtId="3" xfId="0" applyAlignment="1" applyBorder="1" applyFont="1" applyNumberFormat="1">
      <alignment horizontal="center" shrinkToFit="0" vertical="center" wrapText="1"/>
    </xf>
    <xf borderId="69" fillId="0" fontId="6" numFmtId="0" xfId="0" applyAlignment="1" applyBorder="1" applyFont="1">
      <alignment vertical="center"/>
    </xf>
    <xf borderId="70" fillId="0" fontId="6" numFmtId="0" xfId="0" applyAlignment="1" applyBorder="1" applyFont="1">
      <alignment vertical="center"/>
    </xf>
    <xf borderId="28" fillId="5" fontId="16" numFmtId="1" xfId="0" applyAlignment="1" applyBorder="1" applyFont="1" applyNumberFormat="1">
      <alignment horizontal="left" shrinkToFit="0" vertical="center" wrapText="1"/>
    </xf>
    <xf borderId="28" fillId="5" fontId="16" numFmtId="1" xfId="0" applyAlignment="1" applyBorder="1" applyFont="1" applyNumberFormat="1">
      <alignment horizontal="left" vertical="center"/>
    </xf>
    <xf borderId="49" fillId="3" fontId="22" numFmtId="0" xfId="0" applyAlignment="1" applyBorder="1" applyFont="1">
      <alignment horizontal="center" textRotation="90" vertical="center"/>
    </xf>
    <xf borderId="53" fillId="0" fontId="16" numFmtId="1" xfId="0" applyAlignment="1" applyBorder="1" applyFont="1" applyNumberFormat="1">
      <alignment horizontal="center" shrinkToFit="0" vertical="center" wrapText="1"/>
    </xf>
    <xf borderId="24" fillId="0" fontId="6" numFmtId="0" xfId="0" applyAlignment="1" applyBorder="1" applyFont="1">
      <alignment vertical="center"/>
    </xf>
    <xf borderId="24" fillId="0" fontId="16" numFmtId="1" xfId="0" applyAlignment="1" applyBorder="1" applyFont="1" applyNumberFormat="1">
      <alignment horizontal="left" vertical="center"/>
    </xf>
    <xf borderId="60" fillId="0" fontId="16" numFmtId="1" xfId="0" applyAlignment="1" applyBorder="1" applyFont="1" applyNumberFormat="1">
      <alignment horizontal="left" vertical="center"/>
    </xf>
    <xf borderId="3" fillId="4" fontId="21" numFmtId="9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43" fillId="4" fontId="8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1" fillId="0" fontId="8" numFmtId="0" xfId="0" applyAlignment="1" applyBorder="1" applyFont="1">
      <alignment horizontal="center" vertical="center"/>
    </xf>
    <xf borderId="35" fillId="0" fontId="6" numFmtId="0" xfId="0" applyAlignment="1" applyBorder="1" applyFont="1">
      <alignment vertical="center"/>
    </xf>
    <xf borderId="4" fillId="5" fontId="23" numFmtId="0" xfId="0" applyAlignment="1" applyBorder="1" applyFont="1">
      <alignment horizontal="left" vertical="center"/>
    </xf>
    <xf borderId="27" fillId="5" fontId="15" numFmtId="3" xfId="0" applyAlignment="1" applyBorder="1" applyFont="1" applyNumberFormat="1">
      <alignment horizontal="center" vertical="center"/>
    </xf>
    <xf borderId="27" fillId="5" fontId="15" numFmtId="9" xfId="0" applyAlignment="1" applyBorder="1" applyFont="1" applyNumberFormat="1">
      <alignment horizontal="center" vertical="center"/>
    </xf>
    <xf borderId="27" fillId="9" fontId="15" numFmtId="3" xfId="0" applyAlignment="1" applyBorder="1" applyFont="1" applyNumberFormat="1">
      <alignment horizontal="center" vertical="center"/>
    </xf>
    <xf borderId="28" fillId="5" fontId="15" numFmtId="9" xfId="0" applyAlignment="1" applyBorder="1" applyFont="1" applyNumberFormat="1">
      <alignment horizontal="center" shrinkToFit="0" vertical="center" wrapText="1"/>
    </xf>
    <xf borderId="27" fillId="5" fontId="16" numFmtId="9" xfId="0" applyAlignment="1" applyBorder="1" applyFont="1" applyNumberFormat="1">
      <alignment horizontal="center" shrinkToFit="0" vertical="center" wrapText="1"/>
    </xf>
    <xf borderId="4" fillId="5" fontId="15" numFmtId="3" xfId="0" applyAlignment="1" applyBorder="1" applyFont="1" applyNumberFormat="1">
      <alignment horizontal="center" vertical="center"/>
    </xf>
    <xf borderId="27" fillId="5" fontId="15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25</xdr:row>
      <xdr:rowOff>0</xdr:rowOff>
    </xdr:from>
    <xdr:ext cx="752475" cy="1009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0</xdr:rowOff>
    </xdr:from>
    <xdr:ext cx="1476375" cy="657225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2.57"/>
    <col customWidth="1" min="3" max="3" width="9.86"/>
    <col customWidth="1" min="4" max="4" width="11.43"/>
    <col customWidth="1" min="5" max="5" width="15.43"/>
    <col customWidth="1" min="6" max="6" width="17.43"/>
    <col customWidth="1" min="7" max="7" width="0.86"/>
    <col customWidth="1" min="8" max="8" width="10.0"/>
    <col customWidth="1" min="9" max="9" width="9.57"/>
    <col customWidth="1" min="10" max="10" width="15.14"/>
    <col customWidth="1" hidden="1" min="11" max="11" width="12.29"/>
    <col customWidth="1" min="12" max="12" width="10.71"/>
    <col customWidth="1" hidden="1" min="13" max="13" width="10.71"/>
    <col customWidth="1" min="14" max="14" width="10.71"/>
    <col customWidth="1" min="15" max="15" width="15.43"/>
    <col customWidth="1" hidden="1" min="16" max="16" width="14.29"/>
    <col customWidth="1" min="17" max="17" width="11.43"/>
    <col customWidth="1" min="18" max="18" width="11.14"/>
    <col customWidth="1" min="19" max="19" width="15.43"/>
    <col customWidth="1" hidden="1" min="20" max="20" width="1.43"/>
    <col customWidth="1" min="21" max="21" width="10.29"/>
    <col customWidth="1" min="22" max="22" width="10.0"/>
    <col customWidth="1" min="23" max="23" width="17.71"/>
    <col customWidth="1" hidden="1" min="24" max="24" width="2.29"/>
    <col customWidth="1" min="25" max="25" width="11.71"/>
    <col customWidth="1" min="26" max="26" width="0.29"/>
    <col customWidth="1" min="27" max="27" width="11.14"/>
    <col customWidth="1" min="28" max="28" width="11.57"/>
  </cols>
  <sheetData>
    <row r="1">
      <c r="A1" s="1" t="s">
        <v>0</v>
      </c>
    </row>
    <row r="3">
      <c r="A3" s="2" t="s">
        <v>1</v>
      </c>
    </row>
    <row r="5">
      <c r="A5" s="3" t="s">
        <v>2</v>
      </c>
    </row>
    <row r="6">
      <c r="A6" s="4" t="s">
        <v>3</v>
      </c>
      <c r="B6" s="5" t="s">
        <v>4</v>
      </c>
      <c r="C6" s="5" t="s">
        <v>5</v>
      </c>
      <c r="D6" s="5" t="s">
        <v>6</v>
      </c>
      <c r="E6" s="4" t="s">
        <v>7</v>
      </c>
      <c r="F6" s="6" t="s">
        <v>8</v>
      </c>
      <c r="G6" s="7"/>
      <c r="H6" s="7"/>
      <c r="I6" s="8"/>
      <c r="J6" s="6" t="s">
        <v>9</v>
      </c>
      <c r="K6" s="7"/>
      <c r="L6" s="7"/>
      <c r="M6" s="7"/>
      <c r="N6" s="8"/>
      <c r="O6" s="6" t="s">
        <v>10</v>
      </c>
      <c r="P6" s="7"/>
      <c r="Q6" s="7"/>
      <c r="R6" s="8"/>
      <c r="S6" s="6" t="s">
        <v>11</v>
      </c>
      <c r="T6" s="7"/>
      <c r="U6" s="7"/>
      <c r="V6" s="8"/>
      <c r="W6" s="6" t="s">
        <v>12</v>
      </c>
      <c r="X6" s="7"/>
      <c r="Y6" s="7"/>
      <c r="Z6" s="7"/>
      <c r="AA6" s="8"/>
    </row>
    <row r="7">
      <c r="A7" s="9"/>
      <c r="B7" s="10"/>
      <c r="C7" s="10"/>
      <c r="D7" s="10"/>
      <c r="E7" s="11"/>
      <c r="F7" s="12" t="s">
        <v>13</v>
      </c>
      <c r="G7" s="12"/>
      <c r="H7" s="12" t="s">
        <v>14</v>
      </c>
      <c r="I7" s="12" t="s">
        <v>15</v>
      </c>
      <c r="J7" s="12" t="s">
        <v>13</v>
      </c>
      <c r="K7" s="12"/>
      <c r="L7" s="12" t="s">
        <v>14</v>
      </c>
      <c r="M7" s="12"/>
      <c r="N7" s="12" t="s">
        <v>15</v>
      </c>
      <c r="O7" s="12" t="s">
        <v>13</v>
      </c>
      <c r="P7" s="12"/>
      <c r="Q7" s="12" t="s">
        <v>14</v>
      </c>
      <c r="R7" s="12" t="s">
        <v>15</v>
      </c>
      <c r="S7" s="12" t="s">
        <v>13</v>
      </c>
      <c r="T7" s="12"/>
      <c r="U7" s="12" t="s">
        <v>14</v>
      </c>
      <c r="V7" s="12" t="s">
        <v>15</v>
      </c>
      <c r="W7" s="12" t="s">
        <v>13</v>
      </c>
      <c r="X7" s="12"/>
      <c r="Y7" s="12" t="s">
        <v>14</v>
      </c>
      <c r="Z7" s="12"/>
      <c r="AA7" s="12" t="s">
        <v>15</v>
      </c>
    </row>
    <row r="8">
      <c r="A8" s="13">
        <v>1.0</v>
      </c>
      <c r="B8" s="14" t="s">
        <v>16</v>
      </c>
      <c r="C8" s="13" t="s">
        <v>17</v>
      </c>
      <c r="D8" s="13">
        <v>70.79</v>
      </c>
      <c r="E8" s="15">
        <v>500.0</v>
      </c>
      <c r="F8" s="16">
        <f t="shared" ref="F8:F22" si="1">W8/2</f>
        <v>646</v>
      </c>
      <c r="G8" s="17">
        <f t="shared" ref="G8:G23" si="2">F8*D8</f>
        <v>45730.34</v>
      </c>
      <c r="H8" s="18"/>
      <c r="I8" s="19"/>
      <c r="J8" s="19">
        <v>646.0</v>
      </c>
      <c r="K8" s="19">
        <f t="shared" ref="K8:K22" si="3">J8*D8</f>
        <v>45730.34</v>
      </c>
      <c r="L8" s="19">
        <v>0.0</v>
      </c>
      <c r="M8" s="20">
        <f t="shared" ref="M8:M22" si="4">L8*D8</f>
        <v>0</v>
      </c>
      <c r="N8" s="21">
        <f t="shared" ref="N8:N24" si="5">L8/J8</f>
        <v>0</v>
      </c>
      <c r="O8" s="19">
        <f t="shared" ref="O8:O22" si="6">W8/2</f>
        <v>646</v>
      </c>
      <c r="P8" s="22">
        <f t="shared" ref="P8:P23" si="7">O8*D8</f>
        <v>45730.34</v>
      </c>
      <c r="Q8" s="18"/>
      <c r="R8" s="18"/>
      <c r="S8" s="18">
        <v>646.0</v>
      </c>
      <c r="T8" s="18">
        <f t="shared" ref="T8:T22" si="8">S8*D8</f>
        <v>45730.34</v>
      </c>
      <c r="U8" s="18"/>
      <c r="V8" s="18"/>
      <c r="W8" s="16">
        <v>1292.0</v>
      </c>
      <c r="X8" s="23">
        <f t="shared" ref="X8:X23" si="9">W8*D8</f>
        <v>91460.68</v>
      </c>
      <c r="Y8" s="18">
        <v>0.0</v>
      </c>
      <c r="Z8" s="19">
        <f t="shared" ref="Z8:Z22" si="10">Y8*D8</f>
        <v>0</v>
      </c>
      <c r="AA8" s="24">
        <f t="shared" ref="AA8:AA24" si="11">Y8/W8</f>
        <v>0</v>
      </c>
      <c r="AB8" s="25"/>
    </row>
    <row r="9">
      <c r="A9" s="26">
        <v>2.0</v>
      </c>
      <c r="B9" s="27" t="s">
        <v>18</v>
      </c>
      <c r="C9" s="26" t="s">
        <v>17</v>
      </c>
      <c r="D9" s="26">
        <v>89.37</v>
      </c>
      <c r="E9" s="28">
        <v>500.0</v>
      </c>
      <c r="F9" s="29">
        <f t="shared" si="1"/>
        <v>646</v>
      </c>
      <c r="G9" s="23">
        <f t="shared" si="2"/>
        <v>57733.02</v>
      </c>
      <c r="H9" s="30"/>
      <c r="I9" s="31"/>
      <c r="J9" s="31">
        <v>646.0</v>
      </c>
      <c r="K9" s="19">
        <f t="shared" si="3"/>
        <v>57733.02</v>
      </c>
      <c r="L9" s="31">
        <v>55.0</v>
      </c>
      <c r="M9" s="20">
        <f t="shared" si="4"/>
        <v>4915.35</v>
      </c>
      <c r="N9" s="32">
        <f t="shared" si="5"/>
        <v>0.08513931889</v>
      </c>
      <c r="O9" s="31">
        <f t="shared" si="6"/>
        <v>646</v>
      </c>
      <c r="P9" s="22">
        <f t="shared" si="7"/>
        <v>57733.02</v>
      </c>
      <c r="Q9" s="30"/>
      <c r="R9" s="30"/>
      <c r="S9" s="30">
        <v>646.0</v>
      </c>
      <c r="T9" s="18">
        <f t="shared" si="8"/>
        <v>57733.02</v>
      </c>
      <c r="U9" s="30"/>
      <c r="V9" s="30"/>
      <c r="W9" s="29">
        <v>1292.0</v>
      </c>
      <c r="X9" s="23">
        <f t="shared" si="9"/>
        <v>115466.04</v>
      </c>
      <c r="Y9" s="30">
        <v>0.0</v>
      </c>
      <c r="Z9" s="19">
        <f t="shared" si="10"/>
        <v>0</v>
      </c>
      <c r="AA9" s="24">
        <f t="shared" si="11"/>
        <v>0</v>
      </c>
      <c r="AB9" s="25"/>
    </row>
    <row r="10">
      <c r="A10" s="26">
        <v>3.0</v>
      </c>
      <c r="B10" s="27" t="s">
        <v>19</v>
      </c>
      <c r="C10" s="26" t="s">
        <v>17</v>
      </c>
      <c r="D10" s="26">
        <v>112.5</v>
      </c>
      <c r="E10" s="28">
        <v>800.0</v>
      </c>
      <c r="F10" s="29">
        <f t="shared" si="1"/>
        <v>1033.5</v>
      </c>
      <c r="G10" s="23">
        <f t="shared" si="2"/>
        <v>116268.75</v>
      </c>
      <c r="H10" s="30"/>
      <c r="I10" s="31"/>
      <c r="J10" s="31">
        <v>1033.5</v>
      </c>
      <c r="K10" s="19">
        <f t="shared" si="3"/>
        <v>116268.75</v>
      </c>
      <c r="L10" s="31">
        <v>931.0</v>
      </c>
      <c r="M10" s="20">
        <f t="shared" si="4"/>
        <v>104737.5</v>
      </c>
      <c r="N10" s="32">
        <f t="shared" si="5"/>
        <v>0.900822448</v>
      </c>
      <c r="O10" s="31">
        <f t="shared" si="6"/>
        <v>1033.5</v>
      </c>
      <c r="P10" s="22">
        <f t="shared" si="7"/>
        <v>116268.75</v>
      </c>
      <c r="Q10" s="30"/>
      <c r="R10" s="30"/>
      <c r="S10" s="30">
        <v>1033.5</v>
      </c>
      <c r="T10" s="18">
        <f t="shared" si="8"/>
        <v>116268.75</v>
      </c>
      <c r="U10" s="30"/>
      <c r="V10" s="30"/>
      <c r="W10" s="29">
        <v>2067.0</v>
      </c>
      <c r="X10" s="23">
        <f t="shared" si="9"/>
        <v>232537.5</v>
      </c>
      <c r="Y10" s="30">
        <v>2000.0</v>
      </c>
      <c r="Z10" s="19">
        <f t="shared" si="10"/>
        <v>225000</v>
      </c>
      <c r="AA10" s="24">
        <f t="shared" si="11"/>
        <v>0.9675858732</v>
      </c>
      <c r="AB10" s="25"/>
    </row>
    <row r="11">
      <c r="A11" s="26">
        <v>4.0</v>
      </c>
      <c r="B11" s="27" t="s">
        <v>20</v>
      </c>
      <c r="C11" s="26" t="s">
        <v>21</v>
      </c>
      <c r="D11" s="26">
        <v>55.23</v>
      </c>
      <c r="E11" s="28">
        <v>200.0</v>
      </c>
      <c r="F11" s="29">
        <f t="shared" si="1"/>
        <v>258.5</v>
      </c>
      <c r="G11" s="23">
        <f t="shared" si="2"/>
        <v>14276.955</v>
      </c>
      <c r="H11" s="30"/>
      <c r="I11" s="31"/>
      <c r="J11" s="31">
        <v>258.5</v>
      </c>
      <c r="K11" s="19">
        <f t="shared" si="3"/>
        <v>14276.955</v>
      </c>
      <c r="L11" s="31">
        <v>0.0</v>
      </c>
      <c r="M11" s="20">
        <f t="shared" si="4"/>
        <v>0</v>
      </c>
      <c r="N11" s="32">
        <f t="shared" si="5"/>
        <v>0</v>
      </c>
      <c r="O11" s="31">
        <f t="shared" si="6"/>
        <v>258.5</v>
      </c>
      <c r="P11" s="22">
        <f t="shared" si="7"/>
        <v>14276.955</v>
      </c>
      <c r="Q11" s="30"/>
      <c r="R11" s="30"/>
      <c r="S11" s="30">
        <v>258.5</v>
      </c>
      <c r="T11" s="18">
        <f t="shared" si="8"/>
        <v>14276.955</v>
      </c>
      <c r="U11" s="30"/>
      <c r="V11" s="30"/>
      <c r="W11" s="29">
        <v>517.0</v>
      </c>
      <c r="X11" s="23">
        <f t="shared" si="9"/>
        <v>28553.91</v>
      </c>
      <c r="Y11" s="30">
        <v>20.0</v>
      </c>
      <c r="Z11" s="19">
        <f t="shared" si="10"/>
        <v>1104.6</v>
      </c>
      <c r="AA11" s="24">
        <f t="shared" si="11"/>
        <v>0.03868471954</v>
      </c>
      <c r="AB11" s="25"/>
    </row>
    <row r="12">
      <c r="A12" s="26">
        <v>5.0</v>
      </c>
      <c r="B12" s="27" t="s">
        <v>22</v>
      </c>
      <c r="C12" s="26" t="s">
        <v>23</v>
      </c>
      <c r="D12" s="26">
        <v>192.63</v>
      </c>
      <c r="E12" s="28">
        <v>192.0</v>
      </c>
      <c r="F12" s="29">
        <f t="shared" si="1"/>
        <v>248</v>
      </c>
      <c r="G12" s="23">
        <f t="shared" si="2"/>
        <v>47772.24</v>
      </c>
      <c r="H12" s="30"/>
      <c r="I12" s="31"/>
      <c r="J12" s="31">
        <v>248.0</v>
      </c>
      <c r="K12" s="19">
        <f t="shared" si="3"/>
        <v>47772.24</v>
      </c>
      <c r="L12" s="31">
        <v>2.0</v>
      </c>
      <c r="M12" s="20">
        <f t="shared" si="4"/>
        <v>385.26</v>
      </c>
      <c r="N12" s="32">
        <f t="shared" si="5"/>
        <v>0.008064516129</v>
      </c>
      <c r="O12" s="31">
        <f t="shared" si="6"/>
        <v>248</v>
      </c>
      <c r="P12" s="22">
        <f t="shared" si="7"/>
        <v>47772.24</v>
      </c>
      <c r="Q12" s="30"/>
      <c r="R12" s="30"/>
      <c r="S12" s="30">
        <v>248.0</v>
      </c>
      <c r="T12" s="18">
        <f t="shared" si="8"/>
        <v>47772.24</v>
      </c>
      <c r="U12" s="30"/>
      <c r="V12" s="30"/>
      <c r="W12" s="29">
        <v>496.0</v>
      </c>
      <c r="X12" s="23">
        <f t="shared" si="9"/>
        <v>95544.48</v>
      </c>
      <c r="Y12" s="30">
        <v>28.0</v>
      </c>
      <c r="Z12" s="19">
        <f t="shared" si="10"/>
        <v>5393.64</v>
      </c>
      <c r="AA12" s="24">
        <f t="shared" si="11"/>
        <v>0.0564516129</v>
      </c>
      <c r="AB12" s="25"/>
    </row>
    <row r="13">
      <c r="A13" s="26">
        <v>6.0</v>
      </c>
      <c r="B13" s="27" t="s">
        <v>24</v>
      </c>
      <c r="C13" s="26" t="s">
        <v>23</v>
      </c>
      <c r="D13" s="26">
        <v>195.0</v>
      </c>
      <c r="E13" s="28">
        <v>30.0</v>
      </c>
      <c r="F13" s="29">
        <f t="shared" si="1"/>
        <v>39</v>
      </c>
      <c r="G13" s="23">
        <f t="shared" si="2"/>
        <v>7605</v>
      </c>
      <c r="H13" s="30"/>
      <c r="I13" s="31"/>
      <c r="J13" s="31">
        <v>39.0</v>
      </c>
      <c r="K13" s="19">
        <f t="shared" si="3"/>
        <v>7605</v>
      </c>
      <c r="L13" s="31">
        <v>0.0</v>
      </c>
      <c r="M13" s="20">
        <f t="shared" si="4"/>
        <v>0</v>
      </c>
      <c r="N13" s="32">
        <f t="shared" si="5"/>
        <v>0</v>
      </c>
      <c r="O13" s="31">
        <f t="shared" si="6"/>
        <v>39</v>
      </c>
      <c r="P13" s="22">
        <f t="shared" si="7"/>
        <v>7605</v>
      </c>
      <c r="Q13" s="30"/>
      <c r="R13" s="30"/>
      <c r="S13" s="30">
        <v>39.0</v>
      </c>
      <c r="T13" s="18">
        <f t="shared" si="8"/>
        <v>7605</v>
      </c>
      <c r="U13" s="30"/>
      <c r="V13" s="30"/>
      <c r="W13" s="29">
        <v>78.0</v>
      </c>
      <c r="X13" s="23">
        <f t="shared" si="9"/>
        <v>15210</v>
      </c>
      <c r="Y13" s="30">
        <v>0.0</v>
      </c>
      <c r="Z13" s="19">
        <f t="shared" si="10"/>
        <v>0</v>
      </c>
      <c r="AA13" s="24">
        <f t="shared" si="11"/>
        <v>0</v>
      </c>
      <c r="AB13" s="25"/>
    </row>
    <row r="14">
      <c r="A14" s="26">
        <v>7.0</v>
      </c>
      <c r="B14" s="27" t="s">
        <v>25</v>
      </c>
      <c r="C14" s="26" t="s">
        <v>23</v>
      </c>
      <c r="D14" s="26">
        <v>648.52</v>
      </c>
      <c r="E14" s="28">
        <v>30.0</v>
      </c>
      <c r="F14" s="29">
        <f t="shared" si="1"/>
        <v>39</v>
      </c>
      <c r="G14" s="23">
        <f t="shared" si="2"/>
        <v>25292.28</v>
      </c>
      <c r="H14" s="30"/>
      <c r="I14" s="31"/>
      <c r="J14" s="31">
        <v>39.0</v>
      </c>
      <c r="K14" s="19">
        <f t="shared" si="3"/>
        <v>25292.28</v>
      </c>
      <c r="L14" s="31">
        <v>0.0</v>
      </c>
      <c r="M14" s="20">
        <f t="shared" si="4"/>
        <v>0</v>
      </c>
      <c r="N14" s="32">
        <f t="shared" si="5"/>
        <v>0</v>
      </c>
      <c r="O14" s="31">
        <f t="shared" si="6"/>
        <v>39</v>
      </c>
      <c r="P14" s="22">
        <f t="shared" si="7"/>
        <v>25292.28</v>
      </c>
      <c r="Q14" s="30"/>
      <c r="R14" s="30"/>
      <c r="S14" s="30">
        <v>39.0</v>
      </c>
      <c r="T14" s="18">
        <f t="shared" si="8"/>
        <v>25292.28</v>
      </c>
      <c r="U14" s="30"/>
      <c r="V14" s="30"/>
      <c r="W14" s="29">
        <v>78.0</v>
      </c>
      <c r="X14" s="23">
        <f t="shared" si="9"/>
        <v>50584.56</v>
      </c>
      <c r="Y14" s="30">
        <v>4.0</v>
      </c>
      <c r="Z14" s="19">
        <f t="shared" si="10"/>
        <v>2594.08</v>
      </c>
      <c r="AA14" s="24">
        <f t="shared" si="11"/>
        <v>0.05128205128</v>
      </c>
      <c r="AB14" s="25"/>
    </row>
    <row r="15">
      <c r="A15" s="26">
        <v>8.0</v>
      </c>
      <c r="B15" s="27" t="s">
        <v>26</v>
      </c>
      <c r="C15" s="26" t="s">
        <v>21</v>
      </c>
      <c r="D15" s="26">
        <v>51.0</v>
      </c>
      <c r="E15" s="28">
        <v>300.0</v>
      </c>
      <c r="F15" s="29">
        <f t="shared" si="1"/>
        <v>387.5</v>
      </c>
      <c r="G15" s="23">
        <f t="shared" si="2"/>
        <v>19762.5</v>
      </c>
      <c r="H15" s="30"/>
      <c r="I15" s="31"/>
      <c r="J15" s="31">
        <v>387.5</v>
      </c>
      <c r="K15" s="19">
        <f t="shared" si="3"/>
        <v>19762.5</v>
      </c>
      <c r="L15" s="31">
        <v>52.0</v>
      </c>
      <c r="M15" s="20">
        <f t="shared" si="4"/>
        <v>2652</v>
      </c>
      <c r="N15" s="32">
        <f t="shared" si="5"/>
        <v>0.1341935484</v>
      </c>
      <c r="O15" s="31">
        <f t="shared" si="6"/>
        <v>387.5</v>
      </c>
      <c r="P15" s="22">
        <f t="shared" si="7"/>
        <v>19762.5</v>
      </c>
      <c r="Q15" s="30"/>
      <c r="R15" s="30"/>
      <c r="S15" s="30">
        <v>387.5</v>
      </c>
      <c r="T15" s="18">
        <f t="shared" si="8"/>
        <v>19762.5</v>
      </c>
      <c r="U15" s="30"/>
      <c r="V15" s="30"/>
      <c r="W15" s="29">
        <v>775.0</v>
      </c>
      <c r="X15" s="23">
        <f t="shared" si="9"/>
        <v>39525</v>
      </c>
      <c r="Y15" s="30">
        <v>148.0</v>
      </c>
      <c r="Z15" s="19">
        <f t="shared" si="10"/>
        <v>7548</v>
      </c>
      <c r="AA15" s="24">
        <f t="shared" si="11"/>
        <v>0.1909677419</v>
      </c>
      <c r="AB15" s="25"/>
    </row>
    <row r="16">
      <c r="A16" s="26">
        <v>9.0</v>
      </c>
      <c r="B16" s="27" t="s">
        <v>27</v>
      </c>
      <c r="C16" s="26" t="s">
        <v>28</v>
      </c>
      <c r="D16" s="26">
        <v>189.25</v>
      </c>
      <c r="E16" s="28">
        <v>560.0</v>
      </c>
      <c r="F16" s="29">
        <f t="shared" si="1"/>
        <v>723.5</v>
      </c>
      <c r="G16" s="23">
        <f t="shared" si="2"/>
        <v>136922.375</v>
      </c>
      <c r="H16" s="30"/>
      <c r="I16" s="31"/>
      <c r="J16" s="31">
        <v>723.5</v>
      </c>
      <c r="K16" s="19">
        <f t="shared" si="3"/>
        <v>136922.375</v>
      </c>
      <c r="L16" s="31">
        <v>20.0</v>
      </c>
      <c r="M16" s="20">
        <f t="shared" si="4"/>
        <v>3785</v>
      </c>
      <c r="N16" s="32">
        <f t="shared" si="5"/>
        <v>0.02764340014</v>
      </c>
      <c r="O16" s="31">
        <f t="shared" si="6"/>
        <v>723.5</v>
      </c>
      <c r="P16" s="22">
        <f t="shared" si="7"/>
        <v>136922.375</v>
      </c>
      <c r="Q16" s="30"/>
      <c r="R16" s="30"/>
      <c r="S16" s="30">
        <v>723.5</v>
      </c>
      <c r="T16" s="18">
        <f t="shared" si="8"/>
        <v>136922.375</v>
      </c>
      <c r="U16" s="30"/>
      <c r="V16" s="30"/>
      <c r="W16" s="29">
        <v>1447.0</v>
      </c>
      <c r="X16" s="23">
        <f t="shared" si="9"/>
        <v>273844.75</v>
      </c>
      <c r="Y16" s="30">
        <v>77.0</v>
      </c>
      <c r="Z16" s="19">
        <f t="shared" si="10"/>
        <v>14572.25</v>
      </c>
      <c r="AA16" s="24">
        <f t="shared" si="11"/>
        <v>0.05321354527</v>
      </c>
      <c r="AB16" s="25"/>
    </row>
    <row r="17">
      <c r="A17" s="26">
        <v>10.0</v>
      </c>
      <c r="B17" s="27" t="s">
        <v>29</v>
      </c>
      <c r="C17" s="26" t="s">
        <v>30</v>
      </c>
      <c r="D17" s="26">
        <v>128.86</v>
      </c>
      <c r="E17" s="28">
        <v>550.0</v>
      </c>
      <c r="F17" s="29">
        <f t="shared" si="1"/>
        <v>710.5</v>
      </c>
      <c r="G17" s="23">
        <f t="shared" si="2"/>
        <v>91555.03</v>
      </c>
      <c r="H17" s="30"/>
      <c r="I17" s="31"/>
      <c r="J17" s="31">
        <v>710.5</v>
      </c>
      <c r="K17" s="19">
        <f t="shared" si="3"/>
        <v>91555.03</v>
      </c>
      <c r="L17" s="31">
        <v>3.0</v>
      </c>
      <c r="M17" s="20">
        <f t="shared" si="4"/>
        <v>386.58</v>
      </c>
      <c r="N17" s="32">
        <f t="shared" si="5"/>
        <v>0.004222378607</v>
      </c>
      <c r="O17" s="31">
        <f t="shared" si="6"/>
        <v>710.5</v>
      </c>
      <c r="P17" s="22">
        <f t="shared" si="7"/>
        <v>91555.03</v>
      </c>
      <c r="Q17" s="30"/>
      <c r="R17" s="30"/>
      <c r="S17" s="30">
        <v>710.5</v>
      </c>
      <c r="T17" s="18">
        <f t="shared" si="8"/>
        <v>91555.03</v>
      </c>
      <c r="U17" s="30"/>
      <c r="V17" s="30"/>
      <c r="W17" s="29">
        <v>1421.0</v>
      </c>
      <c r="X17" s="23">
        <f t="shared" si="9"/>
        <v>183110.06</v>
      </c>
      <c r="Y17" s="30">
        <v>0.0</v>
      </c>
      <c r="Z17" s="19">
        <f t="shared" si="10"/>
        <v>0</v>
      </c>
      <c r="AA17" s="24">
        <f t="shared" si="11"/>
        <v>0</v>
      </c>
      <c r="AB17" s="25"/>
    </row>
    <row r="18">
      <c r="A18" s="26">
        <v>11.0</v>
      </c>
      <c r="B18" s="27" t="s">
        <v>31</v>
      </c>
      <c r="C18" s="26" t="s">
        <v>32</v>
      </c>
      <c r="D18" s="26">
        <v>94.9</v>
      </c>
      <c r="E18" s="28">
        <v>650.0</v>
      </c>
      <c r="F18" s="29">
        <f t="shared" si="1"/>
        <v>839.5</v>
      </c>
      <c r="G18" s="23">
        <f t="shared" si="2"/>
        <v>79668.55</v>
      </c>
      <c r="H18" s="30"/>
      <c r="I18" s="31"/>
      <c r="J18" s="31">
        <v>839.5</v>
      </c>
      <c r="K18" s="19">
        <f t="shared" si="3"/>
        <v>79668.55</v>
      </c>
      <c r="L18" s="31">
        <v>40.0</v>
      </c>
      <c r="M18" s="20">
        <f t="shared" si="4"/>
        <v>3796</v>
      </c>
      <c r="N18" s="32">
        <f t="shared" si="5"/>
        <v>0.04764740917</v>
      </c>
      <c r="O18" s="31">
        <f t="shared" si="6"/>
        <v>839.5</v>
      </c>
      <c r="P18" s="22">
        <f t="shared" si="7"/>
        <v>79668.55</v>
      </c>
      <c r="Q18" s="30"/>
      <c r="R18" s="30"/>
      <c r="S18" s="30">
        <v>839.5</v>
      </c>
      <c r="T18" s="18">
        <f t="shared" si="8"/>
        <v>79668.55</v>
      </c>
      <c r="U18" s="30"/>
      <c r="V18" s="30"/>
      <c r="W18" s="29">
        <v>1679.0</v>
      </c>
      <c r="X18" s="23">
        <f t="shared" si="9"/>
        <v>159337.1</v>
      </c>
      <c r="Y18" s="30">
        <v>86.0</v>
      </c>
      <c r="Z18" s="19">
        <f t="shared" si="10"/>
        <v>8161.4</v>
      </c>
      <c r="AA18" s="24">
        <f t="shared" si="11"/>
        <v>0.05122096486</v>
      </c>
      <c r="AB18" s="25"/>
    </row>
    <row r="19">
      <c r="A19" s="26">
        <v>12.0</v>
      </c>
      <c r="B19" s="27" t="s">
        <v>33</v>
      </c>
      <c r="C19" s="26" t="s">
        <v>34</v>
      </c>
      <c r="D19" s="26">
        <v>85.33</v>
      </c>
      <c r="E19" s="28">
        <v>550.0</v>
      </c>
      <c r="F19" s="29">
        <f t="shared" si="1"/>
        <v>710.5</v>
      </c>
      <c r="G19" s="23">
        <f t="shared" si="2"/>
        <v>60626.965</v>
      </c>
      <c r="H19" s="30"/>
      <c r="I19" s="31"/>
      <c r="J19" s="31">
        <v>710.5</v>
      </c>
      <c r="K19" s="19">
        <f t="shared" si="3"/>
        <v>60626.965</v>
      </c>
      <c r="L19" s="31">
        <v>159.0</v>
      </c>
      <c r="M19" s="20">
        <f t="shared" si="4"/>
        <v>13567.47</v>
      </c>
      <c r="N19" s="32">
        <f t="shared" si="5"/>
        <v>0.2237860662</v>
      </c>
      <c r="O19" s="31">
        <f t="shared" si="6"/>
        <v>710.5</v>
      </c>
      <c r="P19" s="22">
        <f t="shared" si="7"/>
        <v>60626.965</v>
      </c>
      <c r="Q19" s="30"/>
      <c r="R19" s="30"/>
      <c r="S19" s="30">
        <v>710.5</v>
      </c>
      <c r="T19" s="18">
        <f t="shared" si="8"/>
        <v>60626.965</v>
      </c>
      <c r="U19" s="30"/>
      <c r="V19" s="30"/>
      <c r="W19" s="29">
        <v>1421.0</v>
      </c>
      <c r="X19" s="23">
        <f t="shared" si="9"/>
        <v>121253.93</v>
      </c>
      <c r="Y19" s="30">
        <v>268.0</v>
      </c>
      <c r="Z19" s="19">
        <f t="shared" si="10"/>
        <v>22868.44</v>
      </c>
      <c r="AA19" s="24">
        <f t="shared" si="11"/>
        <v>0.1885995778</v>
      </c>
      <c r="AB19" s="25"/>
    </row>
    <row r="20">
      <c r="A20" s="26">
        <v>13.0</v>
      </c>
      <c r="B20" s="27" t="s">
        <v>35</v>
      </c>
      <c r="C20" s="26" t="s">
        <v>34</v>
      </c>
      <c r="D20" s="26">
        <v>64.65</v>
      </c>
      <c r="E20" s="28">
        <v>200.0</v>
      </c>
      <c r="F20" s="29">
        <f t="shared" si="1"/>
        <v>258.5</v>
      </c>
      <c r="G20" s="23">
        <f t="shared" si="2"/>
        <v>16712.025</v>
      </c>
      <c r="H20" s="30"/>
      <c r="I20" s="31"/>
      <c r="J20" s="31">
        <v>258.5</v>
      </c>
      <c r="K20" s="19">
        <f t="shared" si="3"/>
        <v>16712.025</v>
      </c>
      <c r="L20" s="31">
        <v>0.0</v>
      </c>
      <c r="M20" s="20">
        <f t="shared" si="4"/>
        <v>0</v>
      </c>
      <c r="N20" s="32">
        <f t="shared" si="5"/>
        <v>0</v>
      </c>
      <c r="O20" s="31">
        <f t="shared" si="6"/>
        <v>258.5</v>
      </c>
      <c r="P20" s="22">
        <f t="shared" si="7"/>
        <v>16712.025</v>
      </c>
      <c r="Q20" s="30"/>
      <c r="R20" s="30"/>
      <c r="S20" s="30">
        <v>258.5</v>
      </c>
      <c r="T20" s="18">
        <f t="shared" si="8"/>
        <v>16712.025</v>
      </c>
      <c r="U20" s="30"/>
      <c r="V20" s="30"/>
      <c r="W20" s="29">
        <v>517.0</v>
      </c>
      <c r="X20" s="23">
        <f t="shared" si="9"/>
        <v>33424.05</v>
      </c>
      <c r="Y20" s="30">
        <v>0.0</v>
      </c>
      <c r="Z20" s="19">
        <f t="shared" si="10"/>
        <v>0</v>
      </c>
      <c r="AA20" s="24">
        <f t="shared" si="11"/>
        <v>0</v>
      </c>
      <c r="AB20" s="25"/>
    </row>
    <row r="21" ht="15.75" customHeight="1">
      <c r="A21" s="26">
        <v>14.0</v>
      </c>
      <c r="B21" s="27" t="s">
        <v>36</v>
      </c>
      <c r="C21" s="26" t="s">
        <v>28</v>
      </c>
      <c r="D21" s="26">
        <v>99.39</v>
      </c>
      <c r="E21" s="28">
        <v>150.0</v>
      </c>
      <c r="F21" s="29">
        <f t="shared" si="1"/>
        <v>194</v>
      </c>
      <c r="G21" s="23">
        <f t="shared" si="2"/>
        <v>19281.66</v>
      </c>
      <c r="H21" s="30"/>
      <c r="I21" s="31"/>
      <c r="J21" s="31">
        <v>194.0</v>
      </c>
      <c r="K21" s="19">
        <f t="shared" si="3"/>
        <v>19281.66</v>
      </c>
      <c r="L21" s="31">
        <v>0.0</v>
      </c>
      <c r="M21" s="20">
        <f t="shared" si="4"/>
        <v>0</v>
      </c>
      <c r="N21" s="32">
        <f t="shared" si="5"/>
        <v>0</v>
      </c>
      <c r="O21" s="31">
        <f t="shared" si="6"/>
        <v>194</v>
      </c>
      <c r="P21" s="22">
        <f t="shared" si="7"/>
        <v>19281.66</v>
      </c>
      <c r="Q21" s="30"/>
      <c r="R21" s="30"/>
      <c r="S21" s="30">
        <v>194.0</v>
      </c>
      <c r="T21" s="18">
        <f t="shared" si="8"/>
        <v>19281.66</v>
      </c>
      <c r="U21" s="30"/>
      <c r="V21" s="30"/>
      <c r="W21" s="29">
        <v>388.0</v>
      </c>
      <c r="X21" s="23">
        <f t="shared" si="9"/>
        <v>38563.32</v>
      </c>
      <c r="Y21" s="30">
        <v>0.0</v>
      </c>
      <c r="Z21" s="19">
        <f t="shared" si="10"/>
        <v>0</v>
      </c>
      <c r="AA21" s="24">
        <f t="shared" si="11"/>
        <v>0</v>
      </c>
      <c r="AB21" s="25"/>
    </row>
    <row r="22" ht="15.75" customHeight="1">
      <c r="A22" s="33">
        <v>15.0</v>
      </c>
      <c r="B22" s="34" t="s">
        <v>37</v>
      </c>
      <c r="C22" s="33" t="s">
        <v>21</v>
      </c>
      <c r="D22" s="33">
        <v>89.64</v>
      </c>
      <c r="E22" s="35">
        <v>300.0</v>
      </c>
      <c r="F22" s="36">
        <f t="shared" si="1"/>
        <v>387.5</v>
      </c>
      <c r="G22" s="37">
        <f t="shared" si="2"/>
        <v>34735.5</v>
      </c>
      <c r="H22" s="38"/>
      <c r="I22" s="39"/>
      <c r="J22" s="39">
        <v>387.5</v>
      </c>
      <c r="K22" s="19">
        <f t="shared" si="3"/>
        <v>34735.5</v>
      </c>
      <c r="L22" s="39">
        <v>77.0</v>
      </c>
      <c r="M22" s="20">
        <f t="shared" si="4"/>
        <v>6902.28</v>
      </c>
      <c r="N22" s="40">
        <f t="shared" si="5"/>
        <v>0.1987096774</v>
      </c>
      <c r="O22" s="39">
        <f t="shared" si="6"/>
        <v>387.5</v>
      </c>
      <c r="P22" s="22">
        <f t="shared" si="7"/>
        <v>34735.5</v>
      </c>
      <c r="Q22" s="38"/>
      <c r="R22" s="38"/>
      <c r="S22" s="38">
        <v>387.5</v>
      </c>
      <c r="T22" s="18">
        <f t="shared" si="8"/>
        <v>34735.5</v>
      </c>
      <c r="U22" s="38"/>
      <c r="V22" s="38"/>
      <c r="W22" s="36">
        <v>775.0</v>
      </c>
      <c r="X22" s="23">
        <f t="shared" si="9"/>
        <v>69471</v>
      </c>
      <c r="Y22" s="38">
        <v>47.0</v>
      </c>
      <c r="Z22" s="19">
        <f t="shared" si="10"/>
        <v>4213.08</v>
      </c>
      <c r="AA22" s="24">
        <f t="shared" si="11"/>
        <v>0.06064516129</v>
      </c>
      <c r="AB22" s="25"/>
    </row>
    <row r="23" ht="15.75" customHeight="1">
      <c r="A23" s="41" t="s">
        <v>38</v>
      </c>
      <c r="B23" s="7"/>
      <c r="C23" s="8"/>
      <c r="D23" s="42"/>
      <c r="E23" s="43"/>
      <c r="F23" s="44">
        <f>SUM(F8:F22)</f>
        <v>7121.5</v>
      </c>
      <c r="G23" s="45">
        <f t="shared" si="2"/>
        <v>0</v>
      </c>
      <c r="H23" s="46"/>
      <c r="I23" s="46"/>
      <c r="J23" s="47">
        <f t="shared" ref="J23:M23" si="12">SUM(J8:J22)</f>
        <v>7121.5</v>
      </c>
      <c r="K23" s="47">
        <f t="shared" si="12"/>
        <v>773943.19</v>
      </c>
      <c r="L23" s="47">
        <f t="shared" si="12"/>
        <v>1339</v>
      </c>
      <c r="M23" s="47">
        <f t="shared" si="12"/>
        <v>141127.44</v>
      </c>
      <c r="N23" s="48">
        <f t="shared" si="5"/>
        <v>0.1880221863</v>
      </c>
      <c r="O23" s="49">
        <f>SUM(O8:O22)</f>
        <v>7121.5</v>
      </c>
      <c r="P23" s="50">
        <f t="shared" si="7"/>
        <v>0</v>
      </c>
      <c r="Q23" s="46"/>
      <c r="R23" s="46"/>
      <c r="S23" s="47">
        <f t="shared" ref="S23:T23" si="13">SUM(S8:S22)</f>
        <v>7121.5</v>
      </c>
      <c r="T23" s="47">
        <f t="shared" si="13"/>
        <v>773943.19</v>
      </c>
      <c r="U23" s="47"/>
      <c r="V23" s="47"/>
      <c r="W23" s="51">
        <f>SUM(W8:W22)</f>
        <v>14243</v>
      </c>
      <c r="X23" s="52">
        <f t="shared" si="9"/>
        <v>0</v>
      </c>
      <c r="Y23" s="46">
        <v>3659.0</v>
      </c>
      <c r="Z23" s="19">
        <f>Z22+Z21+Z20+Z19+Z18+Z17+Z16+Z15+Z14+Z13+Z12+Z11+Z10+Z9+Z8</f>
        <v>291455.49</v>
      </c>
      <c r="AA23" s="24">
        <f t="shared" si="11"/>
        <v>0.2568981254</v>
      </c>
    </row>
    <row r="24" ht="15.75" customHeight="1">
      <c r="A24" s="41" t="s">
        <v>39</v>
      </c>
      <c r="B24" s="7"/>
      <c r="C24" s="8"/>
      <c r="D24" s="53"/>
      <c r="E24" s="54">
        <f>SUM(E8:E23)</f>
        <v>5512</v>
      </c>
      <c r="F24" s="55">
        <f>G24</f>
        <v>773943.19</v>
      </c>
      <c r="G24" s="55">
        <f>SUM(G8:G23)</f>
        <v>773943.19</v>
      </c>
      <c r="H24" s="55"/>
      <c r="I24" s="55"/>
      <c r="J24" s="55">
        <f>K23</f>
        <v>773943.19</v>
      </c>
      <c r="K24" s="55"/>
      <c r="L24" s="55">
        <f>M23</f>
        <v>141127.44</v>
      </c>
      <c r="M24" s="55"/>
      <c r="N24" s="56">
        <f t="shared" si="5"/>
        <v>0.1823485778</v>
      </c>
      <c r="O24" s="55">
        <f>P24</f>
        <v>773943.19</v>
      </c>
      <c r="P24" s="55">
        <f>SUM(P8:P23)</f>
        <v>773943.19</v>
      </c>
      <c r="Q24" s="55"/>
      <c r="R24" s="55"/>
      <c r="S24" s="55">
        <f>T23</f>
        <v>773943.19</v>
      </c>
      <c r="T24" s="55"/>
      <c r="U24" s="55"/>
      <c r="V24" s="55"/>
      <c r="W24" s="55">
        <f>X24</f>
        <v>1547886.38</v>
      </c>
      <c r="X24" s="55">
        <f>SUM(X8:X23)</f>
        <v>1547886.38</v>
      </c>
      <c r="Y24" s="55">
        <f>Z23</f>
        <v>291455.49</v>
      </c>
      <c r="Z24" s="55"/>
      <c r="AA24" s="57">
        <f t="shared" si="11"/>
        <v>0.1882925606</v>
      </c>
      <c r="AB24" s="58"/>
    </row>
    <row r="25" ht="1.5" customHeight="1">
      <c r="D25" s="42"/>
      <c r="E25" s="42"/>
    </row>
    <row r="26" ht="79.5" customHeight="1">
      <c r="B26" s="59"/>
      <c r="D26" s="42"/>
      <c r="E26" s="42"/>
    </row>
    <row r="27" ht="15.75" customHeight="1">
      <c r="B27" s="60" t="s">
        <v>40</v>
      </c>
      <c r="D27" s="42"/>
      <c r="E27" s="42"/>
    </row>
    <row r="28" ht="15.75" customHeight="1">
      <c r="D28" s="42"/>
      <c r="E28" s="42"/>
    </row>
    <row r="29" ht="15.75" customHeight="1">
      <c r="D29" s="42"/>
      <c r="E29" s="42"/>
    </row>
    <row r="30" ht="15.75" customHeight="1">
      <c r="D30" s="42"/>
      <c r="E30" s="42"/>
    </row>
    <row r="31" ht="15.75" customHeight="1">
      <c r="D31" s="42"/>
      <c r="E31" s="42"/>
    </row>
    <row r="32" ht="15.75" customHeight="1">
      <c r="D32" s="42"/>
      <c r="E32" s="42"/>
    </row>
    <row r="33" ht="15.75" customHeight="1">
      <c r="D33" s="42"/>
      <c r="E33" s="42"/>
    </row>
    <row r="34" ht="15.75" customHeight="1">
      <c r="D34" s="42"/>
      <c r="E34" s="42"/>
    </row>
    <row r="35" ht="15.75" customHeight="1">
      <c r="D35" s="42"/>
      <c r="E35" s="42"/>
    </row>
    <row r="36" ht="15.75" customHeight="1">
      <c r="D36" s="42"/>
      <c r="E36" s="42"/>
    </row>
    <row r="37" ht="15.75" customHeight="1">
      <c r="D37" s="42"/>
      <c r="E37" s="42"/>
    </row>
    <row r="38" ht="15.75" customHeight="1">
      <c r="D38" s="42"/>
      <c r="E38" s="42"/>
    </row>
    <row r="39" ht="15.75" customHeight="1">
      <c r="D39" s="42"/>
      <c r="E39" s="42"/>
    </row>
    <row r="40" ht="15.75" customHeight="1">
      <c r="D40" s="42"/>
      <c r="E40" s="42"/>
    </row>
    <row r="41" ht="15.75" customHeight="1">
      <c r="D41" s="42"/>
      <c r="E41" s="42"/>
    </row>
    <row r="42" ht="15.75" customHeight="1">
      <c r="D42" s="42"/>
      <c r="E42" s="42"/>
    </row>
    <row r="43" ht="15.75" customHeight="1">
      <c r="D43" s="42"/>
      <c r="E43" s="42"/>
    </row>
    <row r="44" ht="15.75" customHeight="1">
      <c r="D44" s="42"/>
      <c r="E44" s="42"/>
    </row>
    <row r="45" ht="15.75" customHeight="1">
      <c r="D45" s="42"/>
      <c r="E45" s="42"/>
    </row>
    <row r="46" ht="15.75" customHeight="1">
      <c r="D46" s="42"/>
      <c r="E46" s="42"/>
    </row>
    <row r="47" ht="15.75" customHeight="1">
      <c r="D47" s="42"/>
      <c r="E47" s="42"/>
    </row>
    <row r="48" ht="15.75" customHeight="1">
      <c r="D48" s="42"/>
      <c r="E48" s="42"/>
    </row>
    <row r="49" ht="15.75" customHeight="1">
      <c r="D49" s="42"/>
      <c r="E49" s="42"/>
    </row>
    <row r="50" ht="15.75" customHeight="1">
      <c r="D50" s="42"/>
      <c r="E50" s="42"/>
    </row>
    <row r="51" ht="15.75" customHeight="1">
      <c r="D51" s="42"/>
      <c r="E51" s="42"/>
    </row>
    <row r="52" ht="15.75" customHeight="1">
      <c r="D52" s="42"/>
      <c r="E52" s="42"/>
    </row>
    <row r="53" ht="15.75" customHeight="1">
      <c r="D53" s="42"/>
      <c r="E53" s="42"/>
    </row>
    <row r="54" ht="15.75" customHeight="1">
      <c r="D54" s="42"/>
      <c r="E54" s="42"/>
    </row>
    <row r="55" ht="15.75" customHeight="1">
      <c r="D55" s="42"/>
      <c r="E55" s="42"/>
    </row>
    <row r="56" ht="15.75" customHeight="1">
      <c r="D56" s="42"/>
      <c r="E56" s="42"/>
    </row>
    <row r="57" ht="15.75" customHeight="1">
      <c r="D57" s="42"/>
      <c r="E57" s="42"/>
    </row>
    <row r="58" ht="15.75" customHeight="1">
      <c r="D58" s="42"/>
      <c r="E58" s="42"/>
    </row>
    <row r="59" ht="15.75" customHeight="1">
      <c r="D59" s="42"/>
      <c r="E59" s="42"/>
    </row>
    <row r="60" ht="15.75" customHeight="1">
      <c r="D60" s="42"/>
      <c r="E60" s="42"/>
    </row>
    <row r="61" ht="15.75" customHeight="1">
      <c r="D61" s="42"/>
      <c r="E61" s="42"/>
    </row>
    <row r="62" ht="15.75" customHeight="1">
      <c r="D62" s="42"/>
      <c r="E62" s="42"/>
    </row>
    <row r="63" ht="15.75" customHeight="1">
      <c r="D63" s="42"/>
      <c r="E63" s="42"/>
    </row>
    <row r="64" ht="15.75" customHeight="1">
      <c r="D64" s="42"/>
      <c r="E64" s="42"/>
    </row>
    <row r="65" ht="15.75" customHeight="1">
      <c r="D65" s="42"/>
      <c r="E65" s="42"/>
    </row>
    <row r="66" ht="15.75" customHeight="1">
      <c r="D66" s="42"/>
      <c r="E66" s="42"/>
    </row>
    <row r="67" ht="15.75" customHeight="1">
      <c r="D67" s="42"/>
      <c r="E67" s="42"/>
    </row>
    <row r="68" ht="15.75" customHeight="1">
      <c r="D68" s="42"/>
      <c r="E68" s="42"/>
    </row>
    <row r="69" ht="15.75" customHeight="1">
      <c r="D69" s="42"/>
      <c r="E69" s="42"/>
    </row>
    <row r="70" ht="15.75" customHeight="1">
      <c r="D70" s="42"/>
      <c r="E70" s="42"/>
    </row>
    <row r="71" ht="15.75" customHeight="1">
      <c r="D71" s="42"/>
      <c r="E71" s="42"/>
    </row>
    <row r="72" ht="15.75" customHeight="1">
      <c r="D72" s="42"/>
      <c r="E72" s="42"/>
    </row>
    <row r="73" ht="15.75" customHeight="1">
      <c r="D73" s="42"/>
      <c r="E73" s="42"/>
    </row>
    <row r="74" ht="15.75" customHeight="1">
      <c r="D74" s="42"/>
      <c r="E74" s="42"/>
    </row>
    <row r="75" ht="15.75" customHeight="1">
      <c r="D75" s="42"/>
      <c r="E75" s="42"/>
    </row>
    <row r="76" ht="15.75" customHeight="1">
      <c r="D76" s="42"/>
      <c r="E76" s="42"/>
    </row>
    <row r="77" ht="15.75" customHeight="1">
      <c r="D77" s="42"/>
      <c r="E77" s="42"/>
    </row>
    <row r="78" ht="15.75" customHeight="1">
      <c r="D78" s="42"/>
      <c r="E78" s="42"/>
    </row>
    <row r="79" ht="15.75" customHeight="1">
      <c r="D79" s="42"/>
      <c r="E79" s="42"/>
    </row>
    <row r="80" ht="15.75" customHeight="1">
      <c r="D80" s="42"/>
      <c r="E80" s="42"/>
    </row>
    <row r="81" ht="15.75" customHeight="1">
      <c r="D81" s="42"/>
      <c r="E81" s="42"/>
    </row>
    <row r="82" ht="15.75" customHeight="1">
      <c r="D82" s="42"/>
      <c r="E82" s="42"/>
    </row>
    <row r="83" ht="15.75" customHeight="1">
      <c r="D83" s="42"/>
      <c r="E83" s="42"/>
    </row>
    <row r="84" ht="15.75" customHeight="1">
      <c r="D84" s="42"/>
      <c r="E84" s="42"/>
    </row>
    <row r="85" ht="15.75" customHeight="1">
      <c r="D85" s="42"/>
      <c r="E85" s="42"/>
    </row>
    <row r="86" ht="15.75" customHeight="1">
      <c r="D86" s="42"/>
      <c r="E86" s="42"/>
    </row>
    <row r="87" ht="15.75" customHeight="1">
      <c r="D87" s="42"/>
      <c r="E87" s="42"/>
    </row>
    <row r="88" ht="15.75" customHeight="1">
      <c r="D88" s="42"/>
      <c r="E88" s="42"/>
    </row>
    <row r="89" ht="15.75" customHeight="1">
      <c r="D89" s="42"/>
      <c r="E89" s="42"/>
    </row>
    <row r="90" ht="15.75" customHeight="1">
      <c r="D90" s="42"/>
      <c r="E90" s="42"/>
    </row>
    <row r="91" ht="15.75" customHeight="1">
      <c r="D91" s="42"/>
      <c r="E91" s="42"/>
    </row>
    <row r="92" ht="15.75" customHeight="1">
      <c r="D92" s="42"/>
      <c r="E92" s="42"/>
    </row>
    <row r="93" ht="15.75" customHeight="1">
      <c r="D93" s="42"/>
      <c r="E93" s="42"/>
    </row>
    <row r="94" ht="15.75" customHeight="1">
      <c r="D94" s="42"/>
      <c r="E94" s="42"/>
    </row>
    <row r="95" ht="15.75" customHeight="1">
      <c r="D95" s="42"/>
      <c r="E95" s="42"/>
    </row>
    <row r="96" ht="15.75" customHeight="1">
      <c r="D96" s="42"/>
      <c r="E96" s="42"/>
    </row>
    <row r="97" ht="15.75" customHeight="1">
      <c r="D97" s="42"/>
      <c r="E97" s="42"/>
    </row>
    <row r="98" ht="15.75" customHeight="1">
      <c r="D98" s="42"/>
      <c r="E98" s="42"/>
    </row>
    <row r="99" ht="15.75" customHeight="1">
      <c r="D99" s="42"/>
      <c r="E99" s="42"/>
    </row>
    <row r="100" ht="15.75" customHeight="1">
      <c r="D100" s="42"/>
      <c r="E100" s="42"/>
    </row>
    <row r="101" ht="15.75" customHeight="1">
      <c r="D101" s="42"/>
      <c r="E101" s="42"/>
    </row>
    <row r="102" ht="15.75" customHeight="1">
      <c r="D102" s="42"/>
      <c r="E102" s="42"/>
    </row>
    <row r="103" ht="15.75" customHeight="1">
      <c r="D103" s="42"/>
      <c r="E103" s="42"/>
    </row>
    <row r="104" ht="15.75" customHeight="1">
      <c r="D104" s="42"/>
      <c r="E104" s="42"/>
    </row>
    <row r="105" ht="15.75" customHeight="1">
      <c r="D105" s="42"/>
      <c r="E105" s="42"/>
    </row>
    <row r="106" ht="15.75" customHeight="1">
      <c r="D106" s="42"/>
      <c r="E106" s="42"/>
    </row>
    <row r="107" ht="15.75" customHeight="1">
      <c r="D107" s="42"/>
      <c r="E107" s="42"/>
    </row>
    <row r="108" ht="15.75" customHeight="1">
      <c r="D108" s="42"/>
      <c r="E108" s="42"/>
    </row>
    <row r="109" ht="15.75" customHeight="1">
      <c r="D109" s="42"/>
      <c r="E109" s="42"/>
    </row>
    <row r="110" ht="15.75" customHeight="1">
      <c r="D110" s="42"/>
      <c r="E110" s="42"/>
    </row>
    <row r="111" ht="15.75" customHeight="1">
      <c r="D111" s="42"/>
      <c r="E111" s="42"/>
    </row>
    <row r="112" ht="15.75" customHeight="1">
      <c r="D112" s="42"/>
      <c r="E112" s="42"/>
    </row>
    <row r="113" ht="15.75" customHeight="1">
      <c r="D113" s="42"/>
      <c r="E113" s="42"/>
    </row>
    <row r="114" ht="15.75" customHeight="1">
      <c r="D114" s="42"/>
      <c r="E114" s="42"/>
    </row>
    <row r="115" ht="15.75" customHeight="1">
      <c r="D115" s="42"/>
      <c r="E115" s="42"/>
    </row>
    <row r="116" ht="15.75" customHeight="1">
      <c r="D116" s="42"/>
      <c r="E116" s="42"/>
    </row>
    <row r="117" ht="15.75" customHeight="1">
      <c r="D117" s="42"/>
      <c r="E117" s="42"/>
    </row>
    <row r="118" ht="15.75" customHeight="1">
      <c r="D118" s="42"/>
      <c r="E118" s="42"/>
    </row>
    <row r="119" ht="15.75" customHeight="1">
      <c r="D119" s="42"/>
      <c r="E119" s="42"/>
    </row>
    <row r="120" ht="15.75" customHeight="1">
      <c r="D120" s="42"/>
      <c r="E120" s="42"/>
    </row>
    <row r="121" ht="15.75" customHeight="1">
      <c r="D121" s="42"/>
      <c r="E121" s="42"/>
    </row>
    <row r="122" ht="15.75" customHeight="1">
      <c r="D122" s="42"/>
      <c r="E122" s="42"/>
    </row>
    <row r="123" ht="15.75" customHeight="1">
      <c r="D123" s="42"/>
      <c r="E123" s="42"/>
    </row>
    <row r="124" ht="15.75" customHeight="1">
      <c r="D124" s="42"/>
      <c r="E124" s="42"/>
    </row>
    <row r="125" ht="15.75" customHeight="1">
      <c r="D125" s="42"/>
      <c r="E125" s="42"/>
    </row>
    <row r="126" ht="15.75" customHeight="1">
      <c r="D126" s="42"/>
      <c r="E126" s="42"/>
    </row>
    <row r="127" ht="15.75" customHeight="1">
      <c r="D127" s="42"/>
      <c r="E127" s="42"/>
    </row>
    <row r="128" ht="15.75" customHeight="1">
      <c r="D128" s="42"/>
      <c r="E128" s="42"/>
    </row>
    <row r="129" ht="15.75" customHeight="1">
      <c r="D129" s="42"/>
      <c r="E129" s="42"/>
    </row>
    <row r="130" ht="15.75" customHeight="1">
      <c r="D130" s="42"/>
      <c r="E130" s="42"/>
    </row>
    <row r="131" ht="15.75" customHeight="1">
      <c r="D131" s="42"/>
      <c r="E131" s="42"/>
    </row>
    <row r="132" ht="15.75" customHeight="1">
      <c r="D132" s="42"/>
      <c r="E132" s="42"/>
    </row>
    <row r="133" ht="15.75" customHeight="1">
      <c r="D133" s="42"/>
      <c r="E133" s="42"/>
    </row>
    <row r="134" ht="15.75" customHeight="1">
      <c r="D134" s="42"/>
      <c r="E134" s="42"/>
    </row>
    <row r="135" ht="15.75" customHeight="1">
      <c r="D135" s="42"/>
      <c r="E135" s="42"/>
    </row>
    <row r="136" ht="15.75" customHeight="1">
      <c r="D136" s="42"/>
      <c r="E136" s="42"/>
    </row>
    <row r="137" ht="15.75" customHeight="1">
      <c r="D137" s="42"/>
      <c r="E137" s="42"/>
    </row>
    <row r="138" ht="15.75" customHeight="1">
      <c r="D138" s="42"/>
      <c r="E138" s="42"/>
    </row>
    <row r="139" ht="15.75" customHeight="1">
      <c r="D139" s="42"/>
      <c r="E139" s="42"/>
    </row>
    <row r="140" ht="15.75" customHeight="1">
      <c r="D140" s="42"/>
      <c r="E140" s="42"/>
    </row>
    <row r="141" ht="15.75" customHeight="1">
      <c r="D141" s="42"/>
      <c r="E141" s="42"/>
    </row>
    <row r="142" ht="15.75" customHeight="1">
      <c r="D142" s="42"/>
      <c r="E142" s="42"/>
    </row>
    <row r="143" ht="15.75" customHeight="1">
      <c r="D143" s="42"/>
      <c r="E143" s="42"/>
    </row>
    <row r="144" ht="15.75" customHeight="1">
      <c r="D144" s="42"/>
      <c r="E144" s="42"/>
    </row>
    <row r="145" ht="15.75" customHeight="1">
      <c r="D145" s="42"/>
      <c r="E145" s="42"/>
    </row>
    <row r="146" ht="15.75" customHeight="1">
      <c r="D146" s="42"/>
      <c r="E146" s="42"/>
    </row>
    <row r="147" ht="15.75" customHeight="1">
      <c r="D147" s="42"/>
      <c r="E147" s="42"/>
    </row>
    <row r="148" ht="15.75" customHeight="1">
      <c r="D148" s="42"/>
      <c r="E148" s="42"/>
    </row>
    <row r="149" ht="15.75" customHeight="1">
      <c r="D149" s="42"/>
      <c r="E149" s="42"/>
    </row>
    <row r="150" ht="15.75" customHeight="1">
      <c r="D150" s="42"/>
      <c r="E150" s="42"/>
    </row>
    <row r="151" ht="15.75" customHeight="1">
      <c r="D151" s="42"/>
      <c r="E151" s="42"/>
    </row>
    <row r="152" ht="15.75" customHeight="1">
      <c r="D152" s="42"/>
      <c r="E152" s="42"/>
    </row>
    <row r="153" ht="15.75" customHeight="1">
      <c r="D153" s="42"/>
      <c r="E153" s="42"/>
    </row>
    <row r="154" ht="15.75" customHeight="1">
      <c r="D154" s="42"/>
      <c r="E154" s="42"/>
    </row>
    <row r="155" ht="15.75" customHeight="1">
      <c r="D155" s="42"/>
      <c r="E155" s="42"/>
    </row>
    <row r="156" ht="15.75" customHeight="1">
      <c r="D156" s="42"/>
      <c r="E156" s="42"/>
    </row>
    <row r="157" ht="15.75" customHeight="1">
      <c r="D157" s="42"/>
      <c r="E157" s="42"/>
    </row>
    <row r="158" ht="15.75" customHeight="1">
      <c r="D158" s="42"/>
      <c r="E158" s="42"/>
    </row>
    <row r="159" ht="15.75" customHeight="1">
      <c r="D159" s="42"/>
      <c r="E159" s="42"/>
    </row>
    <row r="160" ht="15.75" customHeight="1">
      <c r="D160" s="42"/>
      <c r="E160" s="42"/>
    </row>
    <row r="161" ht="15.75" customHeight="1">
      <c r="D161" s="42"/>
      <c r="E161" s="42"/>
    </row>
    <row r="162" ht="15.75" customHeight="1">
      <c r="D162" s="42"/>
      <c r="E162" s="42"/>
    </row>
    <row r="163" ht="15.75" customHeight="1">
      <c r="D163" s="42"/>
      <c r="E163" s="42"/>
    </row>
    <row r="164" ht="15.75" customHeight="1">
      <c r="D164" s="42"/>
      <c r="E164" s="42"/>
    </row>
    <row r="165" ht="15.75" customHeight="1">
      <c r="D165" s="42"/>
      <c r="E165" s="42"/>
    </row>
    <row r="166" ht="15.75" customHeight="1">
      <c r="D166" s="42"/>
      <c r="E166" s="42"/>
    </row>
    <row r="167" ht="15.75" customHeight="1">
      <c r="D167" s="42"/>
      <c r="E167" s="42"/>
    </row>
    <row r="168" ht="15.75" customHeight="1">
      <c r="D168" s="42"/>
      <c r="E168" s="42"/>
    </row>
    <row r="169" ht="15.75" customHeight="1">
      <c r="D169" s="42"/>
      <c r="E169" s="42"/>
    </row>
    <row r="170" ht="15.75" customHeight="1">
      <c r="D170" s="42"/>
      <c r="E170" s="42"/>
    </row>
    <row r="171" ht="15.75" customHeight="1">
      <c r="D171" s="42"/>
      <c r="E171" s="42"/>
    </row>
    <row r="172" ht="15.75" customHeight="1">
      <c r="D172" s="42"/>
      <c r="E172" s="42"/>
    </row>
    <row r="173" ht="15.75" customHeight="1">
      <c r="D173" s="42"/>
      <c r="E173" s="42"/>
    </row>
    <row r="174" ht="15.75" customHeight="1">
      <c r="D174" s="42"/>
      <c r="E174" s="42"/>
    </row>
    <row r="175" ht="15.75" customHeight="1">
      <c r="D175" s="42"/>
      <c r="E175" s="42"/>
    </row>
    <row r="176" ht="15.75" customHeight="1">
      <c r="D176" s="42"/>
      <c r="E176" s="42"/>
    </row>
    <row r="177" ht="15.75" customHeight="1">
      <c r="D177" s="42"/>
      <c r="E177" s="42"/>
    </row>
    <row r="178" ht="15.75" customHeight="1">
      <c r="D178" s="42"/>
      <c r="E178" s="42"/>
    </row>
    <row r="179" ht="15.75" customHeight="1">
      <c r="D179" s="42"/>
      <c r="E179" s="42"/>
    </row>
    <row r="180" ht="15.75" customHeight="1">
      <c r="D180" s="42"/>
      <c r="E180" s="42"/>
    </row>
    <row r="181" ht="15.75" customHeight="1">
      <c r="D181" s="42"/>
      <c r="E181" s="42"/>
    </row>
    <row r="182" ht="15.75" customHeight="1">
      <c r="D182" s="42"/>
      <c r="E182" s="42"/>
    </row>
    <row r="183" ht="15.75" customHeight="1">
      <c r="D183" s="42"/>
      <c r="E183" s="42"/>
    </row>
    <row r="184" ht="15.75" customHeight="1">
      <c r="D184" s="42"/>
      <c r="E184" s="42"/>
    </row>
    <row r="185" ht="15.75" customHeight="1">
      <c r="D185" s="42"/>
      <c r="E185" s="42"/>
    </row>
    <row r="186" ht="15.75" customHeight="1">
      <c r="D186" s="42"/>
      <c r="E186" s="42"/>
    </row>
    <row r="187" ht="15.75" customHeight="1">
      <c r="D187" s="42"/>
      <c r="E187" s="42"/>
    </row>
    <row r="188" ht="15.75" customHeight="1">
      <c r="D188" s="42"/>
      <c r="E188" s="42"/>
    </row>
    <row r="189" ht="15.75" customHeight="1">
      <c r="D189" s="42"/>
      <c r="E189" s="42"/>
    </row>
    <row r="190" ht="15.75" customHeight="1">
      <c r="D190" s="42"/>
      <c r="E190" s="42"/>
    </row>
    <row r="191" ht="15.75" customHeight="1">
      <c r="D191" s="42"/>
      <c r="E191" s="42"/>
    </row>
    <row r="192" ht="15.75" customHeight="1">
      <c r="D192" s="42"/>
      <c r="E192" s="42"/>
    </row>
    <row r="193" ht="15.75" customHeight="1">
      <c r="D193" s="42"/>
      <c r="E193" s="42"/>
    </row>
    <row r="194" ht="15.75" customHeight="1">
      <c r="D194" s="42"/>
      <c r="E194" s="42"/>
    </row>
    <row r="195" ht="15.75" customHeight="1">
      <c r="D195" s="42"/>
      <c r="E195" s="42"/>
    </row>
    <row r="196" ht="15.75" customHeight="1">
      <c r="D196" s="42"/>
      <c r="E196" s="42"/>
    </row>
    <row r="197" ht="15.75" customHeight="1">
      <c r="D197" s="42"/>
      <c r="E197" s="42"/>
    </row>
    <row r="198" ht="15.75" customHeight="1">
      <c r="D198" s="42"/>
      <c r="E198" s="42"/>
    </row>
    <row r="199" ht="15.75" customHeight="1">
      <c r="D199" s="42"/>
      <c r="E199" s="42"/>
    </row>
    <row r="200" ht="15.75" customHeight="1">
      <c r="D200" s="42"/>
      <c r="E200" s="42"/>
    </row>
    <row r="201" ht="15.75" customHeight="1">
      <c r="D201" s="42"/>
      <c r="E201" s="42"/>
    </row>
    <row r="202" ht="15.75" customHeight="1">
      <c r="D202" s="42"/>
      <c r="E202" s="42"/>
    </row>
    <row r="203" ht="15.75" customHeight="1">
      <c r="D203" s="42"/>
      <c r="E203" s="42"/>
    </row>
    <row r="204" ht="15.75" customHeight="1">
      <c r="D204" s="42"/>
      <c r="E204" s="42"/>
    </row>
    <row r="205" ht="15.75" customHeight="1">
      <c r="D205" s="42"/>
      <c r="E205" s="42"/>
    </row>
    <row r="206" ht="15.75" customHeight="1">
      <c r="D206" s="42"/>
      <c r="E206" s="42"/>
    </row>
    <row r="207" ht="15.75" customHeight="1">
      <c r="D207" s="42"/>
      <c r="E207" s="42"/>
    </row>
    <row r="208" ht="15.75" customHeight="1">
      <c r="D208" s="42"/>
      <c r="E208" s="42"/>
    </row>
    <row r="209" ht="15.75" customHeight="1">
      <c r="D209" s="42"/>
      <c r="E209" s="42"/>
    </row>
    <row r="210" ht="15.75" customHeight="1">
      <c r="D210" s="42"/>
      <c r="E210" s="42"/>
    </row>
    <row r="211" ht="15.75" customHeight="1">
      <c r="D211" s="42"/>
      <c r="E211" s="42"/>
    </row>
    <row r="212" ht="15.75" customHeight="1">
      <c r="D212" s="42"/>
      <c r="E212" s="42"/>
    </row>
    <row r="213" ht="15.75" customHeight="1">
      <c r="D213" s="42"/>
      <c r="E213" s="42"/>
    </row>
    <row r="214" ht="15.75" customHeight="1">
      <c r="D214" s="42"/>
      <c r="E214" s="42"/>
    </row>
    <row r="215" ht="15.75" customHeight="1">
      <c r="D215" s="42"/>
      <c r="E215" s="42"/>
    </row>
    <row r="216" ht="15.75" customHeight="1">
      <c r="D216" s="42"/>
      <c r="E216" s="42"/>
    </row>
    <row r="217" ht="15.75" customHeight="1">
      <c r="D217" s="42"/>
      <c r="E217" s="42"/>
    </row>
    <row r="218" ht="15.75" customHeight="1">
      <c r="D218" s="42"/>
      <c r="E218" s="42"/>
    </row>
    <row r="219" ht="15.75" customHeight="1">
      <c r="D219" s="42"/>
      <c r="E219" s="42"/>
    </row>
    <row r="220" ht="15.75" customHeight="1">
      <c r="D220" s="42"/>
      <c r="E220" s="42"/>
    </row>
    <row r="221" ht="15.75" customHeight="1">
      <c r="D221" s="42"/>
      <c r="E221" s="42"/>
    </row>
    <row r="222" ht="15.75" customHeight="1">
      <c r="D222" s="42"/>
      <c r="E222" s="42"/>
    </row>
    <row r="223" ht="15.75" customHeight="1">
      <c r="D223" s="42"/>
      <c r="E223" s="42"/>
    </row>
    <row r="224" ht="15.75" customHeight="1">
      <c r="D224" s="42"/>
      <c r="E224" s="42"/>
    </row>
    <row r="225" ht="15.75" customHeight="1">
      <c r="D225" s="42"/>
      <c r="E225" s="42"/>
    </row>
    <row r="226" ht="15.75" customHeight="1">
      <c r="D226" s="42"/>
      <c r="E226" s="42"/>
    </row>
    <row r="227" ht="15.75" customHeight="1">
      <c r="D227" s="42"/>
      <c r="E227" s="42"/>
    </row>
    <row r="228" ht="15.75" customHeight="1">
      <c r="D228" s="42"/>
      <c r="E228" s="42"/>
    </row>
    <row r="229" ht="15.75" customHeight="1">
      <c r="D229" s="42"/>
      <c r="E229" s="42"/>
    </row>
    <row r="230" ht="15.75" customHeight="1">
      <c r="D230" s="42"/>
      <c r="E230" s="42"/>
    </row>
    <row r="231" ht="15.75" customHeight="1">
      <c r="D231" s="42"/>
      <c r="E231" s="42"/>
    </row>
    <row r="232" ht="15.75" customHeight="1">
      <c r="D232" s="42"/>
      <c r="E232" s="42"/>
    </row>
    <row r="233" ht="15.75" customHeight="1">
      <c r="D233" s="42"/>
      <c r="E233" s="42"/>
    </row>
    <row r="234" ht="15.75" customHeight="1">
      <c r="D234" s="42"/>
      <c r="E234" s="42"/>
    </row>
    <row r="235" ht="15.75" customHeight="1">
      <c r="D235" s="42"/>
      <c r="E235" s="42"/>
    </row>
    <row r="236" ht="15.75" customHeight="1">
      <c r="D236" s="42"/>
      <c r="E236" s="42"/>
    </row>
    <row r="237" ht="15.75" customHeight="1">
      <c r="D237" s="42"/>
      <c r="E237" s="42"/>
    </row>
    <row r="238" ht="15.75" customHeight="1">
      <c r="D238" s="42"/>
      <c r="E238" s="42"/>
    </row>
    <row r="239" ht="15.75" customHeight="1">
      <c r="D239" s="42"/>
      <c r="E239" s="42"/>
    </row>
    <row r="240" ht="15.75" customHeight="1">
      <c r="D240" s="42"/>
      <c r="E240" s="42"/>
    </row>
    <row r="241" ht="15.75" customHeight="1">
      <c r="D241" s="42"/>
      <c r="E241" s="42"/>
    </row>
    <row r="242" ht="15.75" customHeight="1">
      <c r="D242" s="42"/>
      <c r="E242" s="42"/>
    </row>
    <row r="243" ht="15.75" customHeight="1">
      <c r="D243" s="42"/>
      <c r="E243" s="42"/>
    </row>
    <row r="244" ht="15.75" customHeight="1">
      <c r="D244" s="42"/>
      <c r="E244" s="42"/>
    </row>
    <row r="245" ht="15.75" customHeight="1">
      <c r="D245" s="42"/>
      <c r="E245" s="42"/>
    </row>
    <row r="246" ht="15.75" customHeight="1">
      <c r="D246" s="42"/>
      <c r="E246" s="42"/>
    </row>
    <row r="247" ht="15.75" customHeight="1">
      <c r="D247" s="42"/>
      <c r="E247" s="42"/>
    </row>
    <row r="248" ht="15.75" customHeight="1">
      <c r="D248" s="42"/>
      <c r="E248" s="42"/>
    </row>
    <row r="249" ht="15.75" customHeight="1">
      <c r="D249" s="42"/>
      <c r="E249" s="42"/>
    </row>
    <row r="250" ht="15.75" customHeight="1">
      <c r="D250" s="42"/>
      <c r="E250" s="42"/>
    </row>
    <row r="251" ht="15.75" customHeight="1">
      <c r="D251" s="42"/>
      <c r="E251" s="42"/>
    </row>
    <row r="252" ht="15.75" customHeight="1">
      <c r="D252" s="42"/>
      <c r="E252" s="42"/>
    </row>
    <row r="253" ht="15.75" customHeight="1">
      <c r="D253" s="42"/>
      <c r="E253" s="42"/>
    </row>
    <row r="254" ht="15.75" customHeight="1">
      <c r="D254" s="42"/>
      <c r="E254" s="42"/>
    </row>
    <row r="255" ht="15.75" customHeight="1">
      <c r="D255" s="42"/>
      <c r="E255" s="42"/>
    </row>
    <row r="256" ht="15.75" customHeight="1">
      <c r="D256" s="42"/>
      <c r="E256" s="42"/>
    </row>
    <row r="257" ht="15.75" customHeight="1">
      <c r="D257" s="42"/>
      <c r="E257" s="42"/>
    </row>
    <row r="258" ht="15.75" customHeight="1">
      <c r="D258" s="42"/>
      <c r="E258" s="42"/>
    </row>
    <row r="259" ht="15.75" customHeight="1">
      <c r="D259" s="42"/>
      <c r="E259" s="42"/>
    </row>
    <row r="260" ht="15.75" customHeight="1">
      <c r="D260" s="42"/>
      <c r="E260" s="42"/>
    </row>
    <row r="261" ht="15.75" customHeight="1">
      <c r="D261" s="42"/>
      <c r="E261" s="42"/>
    </row>
    <row r="262" ht="15.75" customHeight="1">
      <c r="D262" s="42"/>
      <c r="E262" s="42"/>
    </row>
    <row r="263" ht="15.75" customHeight="1">
      <c r="D263" s="42"/>
      <c r="E263" s="42"/>
    </row>
    <row r="264" ht="15.75" customHeight="1">
      <c r="D264" s="42"/>
      <c r="E264" s="42"/>
    </row>
    <row r="265" ht="15.75" customHeight="1">
      <c r="D265" s="42"/>
      <c r="E265" s="42"/>
    </row>
    <row r="266" ht="15.75" customHeight="1">
      <c r="D266" s="42"/>
      <c r="E266" s="42"/>
    </row>
    <row r="267" ht="15.75" customHeight="1">
      <c r="D267" s="42"/>
      <c r="E267" s="42"/>
    </row>
    <row r="268" ht="15.75" customHeight="1">
      <c r="D268" s="42"/>
      <c r="E268" s="42"/>
    </row>
    <row r="269" ht="15.75" customHeight="1">
      <c r="D269" s="42"/>
      <c r="E269" s="42"/>
    </row>
    <row r="270" ht="15.75" customHeight="1">
      <c r="D270" s="42"/>
      <c r="E270" s="42"/>
    </row>
    <row r="271" ht="15.75" customHeight="1">
      <c r="D271" s="42"/>
      <c r="E271" s="42"/>
    </row>
    <row r="272" ht="15.75" customHeight="1">
      <c r="D272" s="42"/>
      <c r="E272" s="42"/>
    </row>
    <row r="273" ht="15.75" customHeight="1">
      <c r="D273" s="42"/>
      <c r="E273" s="42"/>
    </row>
    <row r="274" ht="15.75" customHeight="1">
      <c r="D274" s="42"/>
      <c r="E274" s="42"/>
    </row>
    <row r="275" ht="15.75" customHeight="1">
      <c r="D275" s="42"/>
      <c r="E275" s="42"/>
    </row>
    <row r="276" ht="15.75" customHeight="1">
      <c r="D276" s="42"/>
      <c r="E276" s="42"/>
    </row>
    <row r="277" ht="15.75" customHeight="1">
      <c r="D277" s="42"/>
      <c r="E277" s="42"/>
    </row>
    <row r="278" ht="15.75" customHeight="1">
      <c r="D278" s="42"/>
      <c r="E278" s="42"/>
    </row>
    <row r="279" ht="15.75" customHeight="1">
      <c r="D279" s="42"/>
      <c r="E279" s="42"/>
    </row>
    <row r="280" ht="15.75" customHeight="1">
      <c r="D280" s="42"/>
      <c r="E280" s="42"/>
    </row>
    <row r="281" ht="15.75" customHeight="1">
      <c r="D281" s="42"/>
      <c r="E281" s="42"/>
    </row>
    <row r="282" ht="15.75" customHeight="1">
      <c r="D282" s="42"/>
      <c r="E282" s="42"/>
    </row>
    <row r="283" ht="15.75" customHeight="1">
      <c r="D283" s="42"/>
      <c r="E283" s="42"/>
    </row>
    <row r="284" ht="15.75" customHeight="1">
      <c r="D284" s="42"/>
      <c r="E284" s="42"/>
    </row>
    <row r="285" ht="15.75" customHeight="1">
      <c r="D285" s="42"/>
      <c r="E285" s="42"/>
    </row>
    <row r="286" ht="15.75" customHeight="1">
      <c r="D286" s="42"/>
      <c r="E286" s="42"/>
    </row>
    <row r="287" ht="15.75" customHeight="1">
      <c r="D287" s="42"/>
      <c r="E287" s="42"/>
    </row>
    <row r="288" ht="15.75" customHeight="1">
      <c r="D288" s="42"/>
      <c r="E288" s="42"/>
    </row>
    <row r="289" ht="15.75" customHeight="1">
      <c r="D289" s="42"/>
      <c r="E289" s="42"/>
    </row>
    <row r="290" ht="15.75" customHeight="1">
      <c r="D290" s="42"/>
      <c r="E290" s="42"/>
    </row>
    <row r="291" ht="15.75" customHeight="1">
      <c r="D291" s="42"/>
      <c r="E291" s="42"/>
    </row>
    <row r="292" ht="15.75" customHeight="1">
      <c r="D292" s="42"/>
      <c r="E292" s="42"/>
    </row>
    <row r="293" ht="15.75" customHeight="1">
      <c r="D293" s="42"/>
      <c r="E293" s="42"/>
    </row>
    <row r="294" ht="15.75" customHeight="1">
      <c r="D294" s="42"/>
      <c r="E294" s="42"/>
    </row>
    <row r="295" ht="15.75" customHeight="1">
      <c r="D295" s="42"/>
      <c r="E295" s="42"/>
    </row>
    <row r="296" ht="15.75" customHeight="1">
      <c r="D296" s="42"/>
      <c r="E296" s="42"/>
    </row>
    <row r="297" ht="15.75" customHeight="1">
      <c r="D297" s="42"/>
      <c r="E297" s="42"/>
    </row>
    <row r="298" ht="15.75" customHeight="1">
      <c r="D298" s="42"/>
      <c r="E298" s="42"/>
    </row>
    <row r="299" ht="15.75" customHeight="1">
      <c r="D299" s="42"/>
      <c r="E299" s="42"/>
    </row>
    <row r="300" ht="15.75" customHeight="1">
      <c r="D300" s="42"/>
      <c r="E300" s="42"/>
    </row>
    <row r="301" ht="15.75" customHeight="1">
      <c r="D301" s="42"/>
      <c r="E301" s="42"/>
    </row>
    <row r="302" ht="15.75" customHeight="1">
      <c r="D302" s="42"/>
      <c r="E302" s="42"/>
    </row>
    <row r="303" ht="15.75" customHeight="1">
      <c r="D303" s="42"/>
      <c r="E303" s="42"/>
    </row>
    <row r="304" ht="15.75" customHeight="1">
      <c r="D304" s="42"/>
      <c r="E304" s="42"/>
    </row>
    <row r="305" ht="15.75" customHeight="1">
      <c r="D305" s="42"/>
      <c r="E305" s="42"/>
    </row>
    <row r="306" ht="15.75" customHeight="1">
      <c r="D306" s="42"/>
      <c r="E306" s="42"/>
    </row>
    <row r="307" ht="15.75" customHeight="1">
      <c r="D307" s="42"/>
      <c r="E307" s="42"/>
    </row>
    <row r="308" ht="15.75" customHeight="1">
      <c r="D308" s="42"/>
      <c r="E308" s="42"/>
    </row>
    <row r="309" ht="15.75" customHeight="1">
      <c r="D309" s="42"/>
      <c r="E309" s="42"/>
    </row>
    <row r="310" ht="15.75" customHeight="1">
      <c r="D310" s="42"/>
      <c r="E310" s="42"/>
    </row>
    <row r="311" ht="15.75" customHeight="1">
      <c r="D311" s="42"/>
      <c r="E311" s="42"/>
    </row>
    <row r="312" ht="15.75" customHeight="1">
      <c r="D312" s="42"/>
      <c r="E312" s="42"/>
    </row>
    <row r="313" ht="15.75" customHeight="1">
      <c r="D313" s="42"/>
      <c r="E313" s="42"/>
    </row>
    <row r="314" ht="15.75" customHeight="1">
      <c r="D314" s="42"/>
      <c r="E314" s="42"/>
    </row>
    <row r="315" ht="15.75" customHeight="1">
      <c r="D315" s="42"/>
      <c r="E315" s="42"/>
    </row>
    <row r="316" ht="15.75" customHeight="1">
      <c r="D316" s="42"/>
      <c r="E316" s="42"/>
    </row>
    <row r="317" ht="15.75" customHeight="1">
      <c r="D317" s="42"/>
      <c r="E317" s="42"/>
    </row>
    <row r="318" ht="15.75" customHeight="1">
      <c r="D318" s="42"/>
      <c r="E318" s="42"/>
    </row>
    <row r="319" ht="15.75" customHeight="1">
      <c r="D319" s="42"/>
      <c r="E319" s="42"/>
    </row>
    <row r="320" ht="15.75" customHeight="1">
      <c r="D320" s="42"/>
      <c r="E320" s="42"/>
    </row>
    <row r="321" ht="15.75" customHeight="1">
      <c r="D321" s="42"/>
      <c r="E321" s="42"/>
    </row>
    <row r="322" ht="15.75" customHeight="1">
      <c r="D322" s="42"/>
      <c r="E322" s="42"/>
    </row>
    <row r="323" ht="15.75" customHeight="1">
      <c r="D323" s="42"/>
      <c r="E323" s="42"/>
    </row>
    <row r="324" ht="15.75" customHeight="1">
      <c r="D324" s="42"/>
      <c r="E324" s="42"/>
    </row>
    <row r="325" ht="15.75" customHeight="1">
      <c r="D325" s="42"/>
      <c r="E325" s="42"/>
    </row>
    <row r="326" ht="15.75" customHeight="1">
      <c r="D326" s="42"/>
      <c r="E326" s="42"/>
    </row>
    <row r="327" ht="15.75" customHeight="1">
      <c r="D327" s="42"/>
      <c r="E327" s="42"/>
    </row>
    <row r="328" ht="15.75" customHeight="1">
      <c r="D328" s="42"/>
      <c r="E328" s="42"/>
    </row>
    <row r="329" ht="15.75" customHeight="1">
      <c r="D329" s="42"/>
      <c r="E329" s="42"/>
    </row>
    <row r="330" ht="15.75" customHeight="1">
      <c r="D330" s="42"/>
      <c r="E330" s="42"/>
    </row>
    <row r="331" ht="15.75" customHeight="1">
      <c r="D331" s="42"/>
      <c r="E331" s="42"/>
    </row>
    <row r="332" ht="15.75" customHeight="1">
      <c r="D332" s="42"/>
      <c r="E332" s="42"/>
    </row>
    <row r="333" ht="15.75" customHeight="1">
      <c r="D333" s="42"/>
      <c r="E333" s="42"/>
    </row>
    <row r="334" ht="15.75" customHeight="1">
      <c r="D334" s="42"/>
      <c r="E334" s="42"/>
    </row>
    <row r="335" ht="15.75" customHeight="1">
      <c r="D335" s="42"/>
      <c r="E335" s="42"/>
    </row>
    <row r="336" ht="15.75" customHeight="1">
      <c r="D336" s="42"/>
      <c r="E336" s="42"/>
    </row>
    <row r="337" ht="15.75" customHeight="1">
      <c r="D337" s="42"/>
      <c r="E337" s="42"/>
    </row>
    <row r="338" ht="15.75" customHeight="1">
      <c r="D338" s="42"/>
      <c r="E338" s="42"/>
    </row>
    <row r="339" ht="15.75" customHeight="1">
      <c r="D339" s="42"/>
      <c r="E339" s="42"/>
    </row>
    <row r="340" ht="15.75" customHeight="1">
      <c r="D340" s="42"/>
      <c r="E340" s="42"/>
    </row>
    <row r="341" ht="15.75" customHeight="1">
      <c r="D341" s="42"/>
      <c r="E341" s="42"/>
    </row>
    <row r="342" ht="15.75" customHeight="1">
      <c r="D342" s="42"/>
      <c r="E342" s="42"/>
    </row>
    <row r="343" ht="15.75" customHeight="1">
      <c r="D343" s="42"/>
      <c r="E343" s="42"/>
    </row>
    <row r="344" ht="15.75" customHeight="1">
      <c r="D344" s="42"/>
      <c r="E344" s="42"/>
    </row>
    <row r="345" ht="15.75" customHeight="1">
      <c r="D345" s="42"/>
      <c r="E345" s="42"/>
    </row>
    <row r="346" ht="15.75" customHeight="1">
      <c r="D346" s="42"/>
      <c r="E346" s="42"/>
    </row>
    <row r="347" ht="15.75" customHeight="1">
      <c r="D347" s="42"/>
      <c r="E347" s="42"/>
    </row>
    <row r="348" ht="15.75" customHeight="1">
      <c r="D348" s="42"/>
      <c r="E348" s="42"/>
    </row>
    <row r="349" ht="15.75" customHeight="1">
      <c r="D349" s="42"/>
      <c r="E349" s="42"/>
    </row>
    <row r="350" ht="15.75" customHeight="1">
      <c r="D350" s="42"/>
      <c r="E350" s="42"/>
    </row>
    <row r="351" ht="15.75" customHeight="1">
      <c r="D351" s="42"/>
      <c r="E351" s="42"/>
    </row>
    <row r="352" ht="15.75" customHeight="1">
      <c r="D352" s="42"/>
      <c r="E352" s="42"/>
    </row>
    <row r="353" ht="15.75" customHeight="1">
      <c r="D353" s="42"/>
      <c r="E353" s="42"/>
    </row>
    <row r="354" ht="15.75" customHeight="1">
      <c r="D354" s="42"/>
      <c r="E354" s="42"/>
    </row>
    <row r="355" ht="15.75" customHeight="1">
      <c r="D355" s="42"/>
      <c r="E355" s="42"/>
    </row>
    <row r="356" ht="15.75" customHeight="1">
      <c r="D356" s="42"/>
      <c r="E356" s="42"/>
    </row>
    <row r="357" ht="15.75" customHeight="1">
      <c r="D357" s="42"/>
      <c r="E357" s="42"/>
    </row>
    <row r="358" ht="15.75" customHeight="1">
      <c r="D358" s="42"/>
      <c r="E358" s="42"/>
    </row>
    <row r="359" ht="15.75" customHeight="1">
      <c r="D359" s="42"/>
      <c r="E359" s="42"/>
    </row>
    <row r="360" ht="15.75" customHeight="1">
      <c r="D360" s="42"/>
      <c r="E360" s="42"/>
    </row>
    <row r="361" ht="15.75" customHeight="1">
      <c r="D361" s="42"/>
      <c r="E361" s="42"/>
    </row>
    <row r="362" ht="15.75" customHeight="1">
      <c r="D362" s="42"/>
      <c r="E362" s="42"/>
    </row>
    <row r="363" ht="15.75" customHeight="1">
      <c r="D363" s="42"/>
      <c r="E363" s="42"/>
    </row>
    <row r="364" ht="15.75" customHeight="1">
      <c r="D364" s="42"/>
      <c r="E364" s="42"/>
    </row>
    <row r="365" ht="15.75" customHeight="1">
      <c r="D365" s="42"/>
      <c r="E365" s="42"/>
    </row>
    <row r="366" ht="15.75" customHeight="1">
      <c r="D366" s="42"/>
      <c r="E366" s="42"/>
    </row>
    <row r="367" ht="15.75" customHeight="1">
      <c r="D367" s="42"/>
      <c r="E367" s="42"/>
    </row>
    <row r="368" ht="15.75" customHeight="1">
      <c r="D368" s="42"/>
      <c r="E368" s="42"/>
    </row>
    <row r="369" ht="15.75" customHeight="1">
      <c r="D369" s="42"/>
      <c r="E369" s="42"/>
    </row>
    <row r="370" ht="15.75" customHeight="1">
      <c r="D370" s="42"/>
      <c r="E370" s="42"/>
    </row>
    <row r="371" ht="15.75" customHeight="1">
      <c r="D371" s="42"/>
      <c r="E371" s="42"/>
    </row>
    <row r="372" ht="15.75" customHeight="1">
      <c r="D372" s="42"/>
      <c r="E372" s="42"/>
    </row>
    <row r="373" ht="15.75" customHeight="1">
      <c r="D373" s="42"/>
      <c r="E373" s="42"/>
    </row>
    <row r="374" ht="15.75" customHeight="1">
      <c r="D374" s="42"/>
      <c r="E374" s="42"/>
    </row>
    <row r="375" ht="15.75" customHeight="1">
      <c r="D375" s="42"/>
      <c r="E375" s="42"/>
    </row>
    <row r="376" ht="15.75" customHeight="1">
      <c r="D376" s="42"/>
      <c r="E376" s="42"/>
    </row>
    <row r="377" ht="15.75" customHeight="1">
      <c r="D377" s="42"/>
      <c r="E377" s="42"/>
    </row>
    <row r="378" ht="15.75" customHeight="1">
      <c r="D378" s="42"/>
      <c r="E378" s="42"/>
    </row>
    <row r="379" ht="15.75" customHeight="1">
      <c r="D379" s="42"/>
      <c r="E379" s="42"/>
    </row>
    <row r="380" ht="15.75" customHeight="1">
      <c r="D380" s="42"/>
      <c r="E380" s="42"/>
    </row>
    <row r="381" ht="15.75" customHeight="1">
      <c r="D381" s="42"/>
      <c r="E381" s="42"/>
    </row>
    <row r="382" ht="15.75" customHeight="1">
      <c r="D382" s="42"/>
      <c r="E382" s="42"/>
    </row>
    <row r="383" ht="15.75" customHeight="1">
      <c r="D383" s="42"/>
      <c r="E383" s="42"/>
    </row>
    <row r="384" ht="15.75" customHeight="1">
      <c r="D384" s="42"/>
      <c r="E384" s="42"/>
    </row>
    <row r="385" ht="15.75" customHeight="1">
      <c r="D385" s="42"/>
      <c r="E385" s="42"/>
    </row>
    <row r="386" ht="15.75" customHeight="1">
      <c r="D386" s="42"/>
      <c r="E386" s="42"/>
    </row>
    <row r="387" ht="15.75" customHeight="1">
      <c r="D387" s="42"/>
      <c r="E387" s="42"/>
    </row>
    <row r="388" ht="15.75" customHeight="1">
      <c r="D388" s="42"/>
      <c r="E388" s="42"/>
    </row>
    <row r="389" ht="15.75" customHeight="1">
      <c r="D389" s="42"/>
      <c r="E389" s="42"/>
    </row>
    <row r="390" ht="15.75" customHeight="1">
      <c r="D390" s="42"/>
      <c r="E390" s="42"/>
    </row>
    <row r="391" ht="15.75" customHeight="1">
      <c r="D391" s="42"/>
      <c r="E391" s="42"/>
    </row>
    <row r="392" ht="15.75" customHeight="1">
      <c r="D392" s="42"/>
      <c r="E392" s="42"/>
    </row>
    <row r="393" ht="15.75" customHeight="1">
      <c r="D393" s="42"/>
      <c r="E393" s="42"/>
    </row>
    <row r="394" ht="15.75" customHeight="1">
      <c r="D394" s="42"/>
      <c r="E394" s="42"/>
    </row>
    <row r="395" ht="15.75" customHeight="1">
      <c r="D395" s="42"/>
      <c r="E395" s="42"/>
    </row>
    <row r="396" ht="15.75" customHeight="1">
      <c r="D396" s="42"/>
      <c r="E396" s="42"/>
    </row>
    <row r="397" ht="15.75" customHeight="1">
      <c r="D397" s="42"/>
      <c r="E397" s="42"/>
    </row>
    <row r="398" ht="15.75" customHeight="1">
      <c r="D398" s="42"/>
      <c r="E398" s="42"/>
    </row>
    <row r="399" ht="15.75" customHeight="1">
      <c r="D399" s="42"/>
      <c r="E399" s="42"/>
    </row>
    <row r="400" ht="15.75" customHeight="1">
      <c r="D400" s="42"/>
      <c r="E400" s="42"/>
    </row>
    <row r="401" ht="15.75" customHeight="1">
      <c r="D401" s="42"/>
      <c r="E401" s="42"/>
    </row>
    <row r="402" ht="15.75" customHeight="1">
      <c r="D402" s="42"/>
      <c r="E402" s="42"/>
    </row>
    <row r="403" ht="15.75" customHeight="1">
      <c r="D403" s="42"/>
      <c r="E403" s="42"/>
    </row>
    <row r="404" ht="15.75" customHeight="1">
      <c r="D404" s="42"/>
      <c r="E404" s="42"/>
    </row>
    <row r="405" ht="15.75" customHeight="1">
      <c r="D405" s="42"/>
      <c r="E405" s="42"/>
    </row>
    <row r="406" ht="15.75" customHeight="1">
      <c r="D406" s="42"/>
      <c r="E406" s="42"/>
    </row>
    <row r="407" ht="15.75" customHeight="1">
      <c r="D407" s="42"/>
      <c r="E407" s="42"/>
    </row>
    <row r="408" ht="15.75" customHeight="1">
      <c r="D408" s="42"/>
      <c r="E408" s="42"/>
    </row>
    <row r="409" ht="15.75" customHeight="1">
      <c r="D409" s="42"/>
      <c r="E409" s="42"/>
    </row>
    <row r="410" ht="15.75" customHeight="1">
      <c r="D410" s="42"/>
      <c r="E410" s="42"/>
    </row>
    <row r="411" ht="15.75" customHeight="1">
      <c r="D411" s="42"/>
      <c r="E411" s="42"/>
    </row>
    <row r="412" ht="15.75" customHeight="1">
      <c r="D412" s="42"/>
      <c r="E412" s="42"/>
    </row>
    <row r="413" ht="15.75" customHeight="1">
      <c r="D413" s="42"/>
      <c r="E413" s="42"/>
    </row>
    <row r="414" ht="15.75" customHeight="1">
      <c r="D414" s="42"/>
      <c r="E414" s="42"/>
    </row>
    <row r="415" ht="15.75" customHeight="1">
      <c r="D415" s="42"/>
      <c r="E415" s="42"/>
    </row>
    <row r="416" ht="15.75" customHeight="1">
      <c r="D416" s="42"/>
      <c r="E416" s="42"/>
    </row>
    <row r="417" ht="15.75" customHeight="1">
      <c r="D417" s="42"/>
      <c r="E417" s="42"/>
    </row>
    <row r="418" ht="15.75" customHeight="1">
      <c r="D418" s="42"/>
      <c r="E418" s="42"/>
    </row>
    <row r="419" ht="15.75" customHeight="1">
      <c r="D419" s="42"/>
      <c r="E419" s="42"/>
    </row>
    <row r="420" ht="15.75" customHeight="1">
      <c r="D420" s="42"/>
      <c r="E420" s="42"/>
    </row>
    <row r="421" ht="15.75" customHeight="1">
      <c r="D421" s="42"/>
      <c r="E421" s="42"/>
    </row>
    <row r="422" ht="15.75" customHeight="1">
      <c r="D422" s="42"/>
      <c r="E422" s="42"/>
    </row>
    <row r="423" ht="15.75" customHeight="1">
      <c r="D423" s="42"/>
      <c r="E423" s="42"/>
    </row>
    <row r="424" ht="15.75" customHeight="1">
      <c r="D424" s="42"/>
      <c r="E424" s="42"/>
    </row>
    <row r="425" ht="15.75" customHeight="1">
      <c r="D425" s="42"/>
      <c r="E425" s="42"/>
    </row>
    <row r="426" ht="15.75" customHeight="1">
      <c r="D426" s="42"/>
      <c r="E426" s="42"/>
    </row>
    <row r="427" ht="15.75" customHeight="1">
      <c r="D427" s="42"/>
      <c r="E427" s="42"/>
    </row>
    <row r="428" ht="15.75" customHeight="1">
      <c r="D428" s="42"/>
      <c r="E428" s="42"/>
    </row>
    <row r="429" ht="15.75" customHeight="1">
      <c r="D429" s="42"/>
      <c r="E429" s="42"/>
    </row>
    <row r="430" ht="15.75" customHeight="1">
      <c r="D430" s="42"/>
      <c r="E430" s="42"/>
    </row>
    <row r="431" ht="15.75" customHeight="1">
      <c r="D431" s="42"/>
      <c r="E431" s="42"/>
    </row>
    <row r="432" ht="15.75" customHeight="1">
      <c r="D432" s="42"/>
      <c r="E432" s="42"/>
    </row>
    <row r="433" ht="15.75" customHeight="1">
      <c r="D433" s="42"/>
      <c r="E433" s="42"/>
    </row>
    <row r="434" ht="15.75" customHeight="1">
      <c r="D434" s="42"/>
      <c r="E434" s="42"/>
    </row>
    <row r="435" ht="15.75" customHeight="1">
      <c r="D435" s="42"/>
      <c r="E435" s="42"/>
    </row>
    <row r="436" ht="15.75" customHeight="1">
      <c r="D436" s="42"/>
      <c r="E436" s="42"/>
    </row>
    <row r="437" ht="15.75" customHeight="1">
      <c r="D437" s="42"/>
      <c r="E437" s="42"/>
    </row>
    <row r="438" ht="15.75" customHeight="1">
      <c r="D438" s="42"/>
      <c r="E438" s="42"/>
    </row>
    <row r="439" ht="15.75" customHeight="1">
      <c r="D439" s="42"/>
      <c r="E439" s="42"/>
    </row>
    <row r="440" ht="15.75" customHeight="1">
      <c r="D440" s="42"/>
      <c r="E440" s="42"/>
    </row>
    <row r="441" ht="15.75" customHeight="1">
      <c r="D441" s="42"/>
      <c r="E441" s="42"/>
    </row>
    <row r="442" ht="15.75" customHeight="1">
      <c r="D442" s="42"/>
      <c r="E442" s="42"/>
    </row>
    <row r="443" ht="15.75" customHeight="1">
      <c r="D443" s="42"/>
      <c r="E443" s="42"/>
    </row>
    <row r="444" ht="15.75" customHeight="1">
      <c r="D444" s="42"/>
      <c r="E444" s="42"/>
    </row>
    <row r="445" ht="15.75" customHeight="1">
      <c r="D445" s="42"/>
      <c r="E445" s="42"/>
    </row>
    <row r="446" ht="15.75" customHeight="1">
      <c r="D446" s="42"/>
      <c r="E446" s="42"/>
    </row>
    <row r="447" ht="15.75" customHeight="1">
      <c r="D447" s="42"/>
      <c r="E447" s="42"/>
    </row>
    <row r="448" ht="15.75" customHeight="1">
      <c r="D448" s="42"/>
      <c r="E448" s="42"/>
    </row>
    <row r="449" ht="15.75" customHeight="1">
      <c r="D449" s="42"/>
      <c r="E449" s="42"/>
    </row>
    <row r="450" ht="15.75" customHeight="1">
      <c r="D450" s="42"/>
      <c r="E450" s="42"/>
    </row>
    <row r="451" ht="15.75" customHeight="1">
      <c r="D451" s="42"/>
      <c r="E451" s="42"/>
    </row>
    <row r="452" ht="15.75" customHeight="1">
      <c r="D452" s="42"/>
      <c r="E452" s="42"/>
    </row>
    <row r="453" ht="15.75" customHeight="1">
      <c r="D453" s="42"/>
      <c r="E453" s="42"/>
    </row>
    <row r="454" ht="15.75" customHeight="1">
      <c r="D454" s="42"/>
      <c r="E454" s="42"/>
    </row>
    <row r="455" ht="15.75" customHeight="1">
      <c r="D455" s="42"/>
      <c r="E455" s="42"/>
    </row>
    <row r="456" ht="15.75" customHeight="1">
      <c r="D456" s="42"/>
      <c r="E456" s="42"/>
    </row>
    <row r="457" ht="15.75" customHeight="1">
      <c r="D457" s="42"/>
      <c r="E457" s="42"/>
    </row>
    <row r="458" ht="15.75" customHeight="1">
      <c r="D458" s="42"/>
      <c r="E458" s="42"/>
    </row>
    <row r="459" ht="15.75" customHeight="1">
      <c r="D459" s="42"/>
      <c r="E459" s="42"/>
    </row>
    <row r="460" ht="15.75" customHeight="1">
      <c r="D460" s="42"/>
      <c r="E460" s="42"/>
    </row>
    <row r="461" ht="15.75" customHeight="1">
      <c r="D461" s="42"/>
      <c r="E461" s="42"/>
    </row>
    <row r="462" ht="15.75" customHeight="1">
      <c r="D462" s="42"/>
      <c r="E462" s="42"/>
    </row>
    <row r="463" ht="15.75" customHeight="1">
      <c r="D463" s="42"/>
      <c r="E463" s="42"/>
    </row>
    <row r="464" ht="15.75" customHeight="1">
      <c r="D464" s="42"/>
      <c r="E464" s="42"/>
    </row>
    <row r="465" ht="15.75" customHeight="1">
      <c r="D465" s="42"/>
      <c r="E465" s="42"/>
    </row>
    <row r="466" ht="15.75" customHeight="1">
      <c r="D466" s="42"/>
      <c r="E466" s="42"/>
    </row>
    <row r="467" ht="15.75" customHeight="1">
      <c r="D467" s="42"/>
      <c r="E467" s="42"/>
    </row>
    <row r="468" ht="15.75" customHeight="1">
      <c r="D468" s="42"/>
      <c r="E468" s="42"/>
    </row>
    <row r="469" ht="15.75" customHeight="1">
      <c r="D469" s="42"/>
      <c r="E469" s="42"/>
    </row>
    <row r="470" ht="15.75" customHeight="1">
      <c r="D470" s="42"/>
      <c r="E470" s="42"/>
    </row>
    <row r="471" ht="15.75" customHeight="1">
      <c r="D471" s="42"/>
      <c r="E471" s="42"/>
    </row>
    <row r="472" ht="15.75" customHeight="1">
      <c r="D472" s="42"/>
      <c r="E472" s="42"/>
    </row>
    <row r="473" ht="15.75" customHeight="1">
      <c r="D473" s="42"/>
      <c r="E473" s="42"/>
    </row>
    <row r="474" ht="15.75" customHeight="1">
      <c r="D474" s="42"/>
      <c r="E474" s="42"/>
    </row>
    <row r="475" ht="15.75" customHeight="1">
      <c r="D475" s="42"/>
      <c r="E475" s="42"/>
    </row>
    <row r="476" ht="15.75" customHeight="1">
      <c r="D476" s="42"/>
      <c r="E476" s="42"/>
    </row>
    <row r="477" ht="15.75" customHeight="1">
      <c r="D477" s="42"/>
      <c r="E477" s="42"/>
    </row>
    <row r="478" ht="15.75" customHeight="1">
      <c r="D478" s="42"/>
      <c r="E478" s="42"/>
    </row>
    <row r="479" ht="15.75" customHeight="1">
      <c r="D479" s="42"/>
      <c r="E479" s="42"/>
    </row>
    <row r="480" ht="15.75" customHeight="1">
      <c r="D480" s="42"/>
      <c r="E480" s="42"/>
    </row>
    <row r="481" ht="15.75" customHeight="1">
      <c r="D481" s="42"/>
      <c r="E481" s="42"/>
    </row>
    <row r="482" ht="15.75" customHeight="1">
      <c r="D482" s="42"/>
      <c r="E482" s="42"/>
    </row>
    <row r="483" ht="15.75" customHeight="1">
      <c r="D483" s="42"/>
      <c r="E483" s="42"/>
    </row>
    <row r="484" ht="15.75" customHeight="1">
      <c r="D484" s="42"/>
      <c r="E484" s="42"/>
    </row>
    <row r="485" ht="15.75" customHeight="1">
      <c r="D485" s="42"/>
      <c r="E485" s="42"/>
    </row>
    <row r="486" ht="15.75" customHeight="1">
      <c r="D486" s="42"/>
      <c r="E486" s="42"/>
    </row>
    <row r="487" ht="15.75" customHeight="1">
      <c r="D487" s="42"/>
      <c r="E487" s="42"/>
    </row>
    <row r="488" ht="15.75" customHeight="1">
      <c r="D488" s="42"/>
      <c r="E488" s="42"/>
    </row>
    <row r="489" ht="15.75" customHeight="1">
      <c r="D489" s="42"/>
      <c r="E489" s="42"/>
    </row>
    <row r="490" ht="15.75" customHeight="1">
      <c r="D490" s="42"/>
      <c r="E490" s="42"/>
    </row>
    <row r="491" ht="15.75" customHeight="1">
      <c r="D491" s="42"/>
      <c r="E491" s="42"/>
    </row>
    <row r="492" ht="15.75" customHeight="1">
      <c r="D492" s="42"/>
      <c r="E492" s="42"/>
    </row>
    <row r="493" ht="15.75" customHeight="1">
      <c r="D493" s="42"/>
      <c r="E493" s="42"/>
    </row>
    <row r="494" ht="15.75" customHeight="1">
      <c r="D494" s="42"/>
      <c r="E494" s="42"/>
    </row>
    <row r="495" ht="15.75" customHeight="1">
      <c r="D495" s="42"/>
      <c r="E495" s="42"/>
    </row>
    <row r="496" ht="15.75" customHeight="1">
      <c r="D496" s="42"/>
      <c r="E496" s="42"/>
    </row>
    <row r="497" ht="15.75" customHeight="1">
      <c r="D497" s="42"/>
      <c r="E497" s="42"/>
    </row>
    <row r="498" ht="15.75" customHeight="1">
      <c r="D498" s="42"/>
      <c r="E498" s="42"/>
    </row>
    <row r="499" ht="15.75" customHeight="1">
      <c r="D499" s="42"/>
      <c r="E499" s="42"/>
    </row>
    <row r="500" ht="15.75" customHeight="1">
      <c r="D500" s="42"/>
      <c r="E500" s="42"/>
    </row>
    <row r="501" ht="15.75" customHeight="1">
      <c r="D501" s="42"/>
      <c r="E501" s="42"/>
    </row>
    <row r="502" ht="15.75" customHeight="1">
      <c r="D502" s="42"/>
      <c r="E502" s="42"/>
    </row>
    <row r="503" ht="15.75" customHeight="1">
      <c r="D503" s="42"/>
      <c r="E503" s="42"/>
    </row>
    <row r="504" ht="15.75" customHeight="1">
      <c r="D504" s="42"/>
      <c r="E504" s="42"/>
    </row>
    <row r="505" ht="15.75" customHeight="1">
      <c r="D505" s="42"/>
      <c r="E505" s="42"/>
    </row>
    <row r="506" ht="15.75" customHeight="1">
      <c r="D506" s="42"/>
      <c r="E506" s="42"/>
    </row>
    <row r="507" ht="15.75" customHeight="1">
      <c r="D507" s="42"/>
      <c r="E507" s="42"/>
    </row>
    <row r="508" ht="15.75" customHeight="1">
      <c r="D508" s="42"/>
      <c r="E508" s="42"/>
    </row>
    <row r="509" ht="15.75" customHeight="1">
      <c r="D509" s="42"/>
      <c r="E509" s="42"/>
    </row>
    <row r="510" ht="15.75" customHeight="1">
      <c r="D510" s="42"/>
      <c r="E510" s="42"/>
    </row>
    <row r="511" ht="15.75" customHeight="1">
      <c r="D511" s="42"/>
      <c r="E511" s="42"/>
    </row>
    <row r="512" ht="15.75" customHeight="1">
      <c r="D512" s="42"/>
      <c r="E512" s="42"/>
    </row>
    <row r="513" ht="15.75" customHeight="1">
      <c r="D513" s="42"/>
      <c r="E513" s="42"/>
    </row>
    <row r="514" ht="15.75" customHeight="1">
      <c r="D514" s="42"/>
      <c r="E514" s="42"/>
    </row>
    <row r="515" ht="15.75" customHeight="1">
      <c r="D515" s="42"/>
      <c r="E515" s="42"/>
    </row>
    <row r="516" ht="15.75" customHeight="1">
      <c r="D516" s="42"/>
      <c r="E516" s="42"/>
    </row>
    <row r="517" ht="15.75" customHeight="1">
      <c r="D517" s="42"/>
      <c r="E517" s="42"/>
    </row>
    <row r="518" ht="15.75" customHeight="1">
      <c r="D518" s="42"/>
      <c r="E518" s="42"/>
    </row>
    <row r="519" ht="15.75" customHeight="1">
      <c r="D519" s="42"/>
      <c r="E519" s="42"/>
    </row>
    <row r="520" ht="15.75" customHeight="1">
      <c r="D520" s="42"/>
      <c r="E520" s="42"/>
    </row>
    <row r="521" ht="15.75" customHeight="1">
      <c r="D521" s="42"/>
      <c r="E521" s="42"/>
    </row>
    <row r="522" ht="15.75" customHeight="1">
      <c r="D522" s="42"/>
      <c r="E522" s="42"/>
    </row>
    <row r="523" ht="15.75" customHeight="1">
      <c r="D523" s="42"/>
      <c r="E523" s="42"/>
    </row>
    <row r="524" ht="15.75" customHeight="1">
      <c r="D524" s="42"/>
      <c r="E524" s="42"/>
    </row>
    <row r="525" ht="15.75" customHeight="1">
      <c r="D525" s="42"/>
      <c r="E525" s="42"/>
    </row>
    <row r="526" ht="15.75" customHeight="1">
      <c r="D526" s="42"/>
      <c r="E526" s="42"/>
    </row>
    <row r="527" ht="15.75" customHeight="1">
      <c r="D527" s="42"/>
      <c r="E527" s="42"/>
    </row>
    <row r="528" ht="15.75" customHeight="1">
      <c r="D528" s="42"/>
      <c r="E528" s="42"/>
    </row>
    <row r="529" ht="15.75" customHeight="1">
      <c r="D529" s="42"/>
      <c r="E529" s="42"/>
    </row>
    <row r="530" ht="15.75" customHeight="1">
      <c r="D530" s="42"/>
      <c r="E530" s="42"/>
    </row>
    <row r="531" ht="15.75" customHeight="1">
      <c r="D531" s="42"/>
      <c r="E531" s="42"/>
    </row>
    <row r="532" ht="15.75" customHeight="1">
      <c r="D532" s="42"/>
      <c r="E532" s="42"/>
    </row>
    <row r="533" ht="15.75" customHeight="1">
      <c r="D533" s="42"/>
      <c r="E533" s="42"/>
    </row>
    <row r="534" ht="15.75" customHeight="1">
      <c r="D534" s="42"/>
      <c r="E534" s="42"/>
    </row>
    <row r="535" ht="15.75" customHeight="1">
      <c r="D535" s="42"/>
      <c r="E535" s="42"/>
    </row>
    <row r="536" ht="15.75" customHeight="1">
      <c r="D536" s="42"/>
      <c r="E536" s="42"/>
    </row>
    <row r="537" ht="15.75" customHeight="1">
      <c r="D537" s="42"/>
      <c r="E537" s="42"/>
    </row>
    <row r="538" ht="15.75" customHeight="1">
      <c r="D538" s="42"/>
      <c r="E538" s="42"/>
    </row>
    <row r="539" ht="15.75" customHeight="1">
      <c r="D539" s="42"/>
      <c r="E539" s="42"/>
    </row>
    <row r="540" ht="15.75" customHeight="1">
      <c r="D540" s="42"/>
      <c r="E540" s="42"/>
    </row>
    <row r="541" ht="15.75" customHeight="1">
      <c r="D541" s="42"/>
      <c r="E541" s="42"/>
    </row>
    <row r="542" ht="15.75" customHeight="1">
      <c r="D542" s="42"/>
      <c r="E542" s="42"/>
    </row>
    <row r="543" ht="15.75" customHeight="1">
      <c r="D543" s="42"/>
      <c r="E543" s="42"/>
    </row>
    <row r="544" ht="15.75" customHeight="1">
      <c r="D544" s="42"/>
      <c r="E544" s="42"/>
    </row>
    <row r="545" ht="15.75" customHeight="1">
      <c r="D545" s="42"/>
      <c r="E545" s="42"/>
    </row>
    <row r="546" ht="15.75" customHeight="1">
      <c r="D546" s="42"/>
      <c r="E546" s="42"/>
    </row>
    <row r="547" ht="15.75" customHeight="1">
      <c r="D547" s="42"/>
      <c r="E547" s="42"/>
    </row>
    <row r="548" ht="15.75" customHeight="1">
      <c r="D548" s="42"/>
      <c r="E548" s="42"/>
    </row>
    <row r="549" ht="15.75" customHeight="1">
      <c r="D549" s="42"/>
      <c r="E549" s="42"/>
    </row>
    <row r="550" ht="15.75" customHeight="1">
      <c r="D550" s="42"/>
      <c r="E550" s="42"/>
    </row>
    <row r="551" ht="15.75" customHeight="1">
      <c r="D551" s="42"/>
      <c r="E551" s="42"/>
    </row>
    <row r="552" ht="15.75" customHeight="1">
      <c r="D552" s="42"/>
      <c r="E552" s="42"/>
    </row>
    <row r="553" ht="15.75" customHeight="1">
      <c r="D553" s="42"/>
      <c r="E553" s="42"/>
    </row>
    <row r="554" ht="15.75" customHeight="1">
      <c r="D554" s="42"/>
      <c r="E554" s="42"/>
    </row>
    <row r="555" ht="15.75" customHeight="1">
      <c r="D555" s="42"/>
      <c r="E555" s="42"/>
    </row>
    <row r="556" ht="15.75" customHeight="1">
      <c r="D556" s="42"/>
      <c r="E556" s="42"/>
    </row>
    <row r="557" ht="15.75" customHeight="1">
      <c r="D557" s="42"/>
      <c r="E557" s="42"/>
    </row>
    <row r="558" ht="15.75" customHeight="1">
      <c r="D558" s="42"/>
      <c r="E558" s="42"/>
    </row>
    <row r="559" ht="15.75" customHeight="1">
      <c r="D559" s="42"/>
      <c r="E559" s="42"/>
    </row>
    <row r="560" ht="15.75" customHeight="1">
      <c r="D560" s="42"/>
      <c r="E560" s="42"/>
    </row>
    <row r="561" ht="15.75" customHeight="1">
      <c r="D561" s="42"/>
      <c r="E561" s="42"/>
    </row>
    <row r="562" ht="15.75" customHeight="1">
      <c r="D562" s="42"/>
      <c r="E562" s="42"/>
    </row>
    <row r="563" ht="15.75" customHeight="1">
      <c r="D563" s="42"/>
      <c r="E563" s="42"/>
    </row>
    <row r="564" ht="15.75" customHeight="1">
      <c r="D564" s="42"/>
      <c r="E564" s="42"/>
    </row>
    <row r="565" ht="15.75" customHeight="1">
      <c r="D565" s="42"/>
      <c r="E565" s="42"/>
    </row>
    <row r="566" ht="15.75" customHeight="1">
      <c r="D566" s="42"/>
      <c r="E566" s="42"/>
    </row>
    <row r="567" ht="15.75" customHeight="1">
      <c r="D567" s="42"/>
      <c r="E567" s="42"/>
    </row>
    <row r="568" ht="15.75" customHeight="1">
      <c r="D568" s="42"/>
      <c r="E568" s="42"/>
    </row>
    <row r="569" ht="15.75" customHeight="1">
      <c r="D569" s="42"/>
      <c r="E569" s="42"/>
    </row>
    <row r="570" ht="15.75" customHeight="1">
      <c r="D570" s="42"/>
      <c r="E570" s="42"/>
    </row>
    <row r="571" ht="15.75" customHeight="1">
      <c r="D571" s="42"/>
      <c r="E571" s="42"/>
    </row>
    <row r="572" ht="15.75" customHeight="1">
      <c r="D572" s="42"/>
      <c r="E572" s="42"/>
    </row>
    <row r="573" ht="15.75" customHeight="1">
      <c r="D573" s="42"/>
      <c r="E573" s="42"/>
    </row>
    <row r="574" ht="15.75" customHeight="1">
      <c r="D574" s="42"/>
      <c r="E574" s="42"/>
    </row>
    <row r="575" ht="15.75" customHeight="1">
      <c r="D575" s="42"/>
      <c r="E575" s="42"/>
    </row>
    <row r="576" ht="15.75" customHeight="1">
      <c r="D576" s="42"/>
      <c r="E576" s="42"/>
    </row>
    <row r="577" ht="15.75" customHeight="1">
      <c r="D577" s="42"/>
      <c r="E577" s="42"/>
    </row>
    <row r="578" ht="15.75" customHeight="1">
      <c r="D578" s="42"/>
      <c r="E578" s="42"/>
    </row>
    <row r="579" ht="15.75" customHeight="1">
      <c r="D579" s="42"/>
      <c r="E579" s="42"/>
    </row>
    <row r="580" ht="15.75" customHeight="1">
      <c r="D580" s="42"/>
      <c r="E580" s="42"/>
    </row>
    <row r="581" ht="15.75" customHeight="1">
      <c r="D581" s="42"/>
      <c r="E581" s="42"/>
    </row>
    <row r="582" ht="15.75" customHeight="1">
      <c r="D582" s="42"/>
      <c r="E582" s="42"/>
    </row>
    <row r="583" ht="15.75" customHeight="1">
      <c r="D583" s="42"/>
      <c r="E583" s="42"/>
    </row>
    <row r="584" ht="15.75" customHeight="1">
      <c r="D584" s="42"/>
      <c r="E584" s="42"/>
    </row>
    <row r="585" ht="15.75" customHeight="1">
      <c r="D585" s="42"/>
      <c r="E585" s="42"/>
    </row>
    <row r="586" ht="15.75" customHeight="1">
      <c r="D586" s="42"/>
      <c r="E586" s="42"/>
    </row>
    <row r="587" ht="15.75" customHeight="1">
      <c r="D587" s="42"/>
      <c r="E587" s="42"/>
    </row>
    <row r="588" ht="15.75" customHeight="1">
      <c r="D588" s="42"/>
      <c r="E588" s="42"/>
    </row>
    <row r="589" ht="15.75" customHeight="1">
      <c r="D589" s="42"/>
      <c r="E589" s="42"/>
    </row>
    <row r="590" ht="15.75" customHeight="1">
      <c r="D590" s="42"/>
      <c r="E590" s="42"/>
    </row>
    <row r="591" ht="15.75" customHeight="1">
      <c r="D591" s="42"/>
      <c r="E591" s="42"/>
    </row>
    <row r="592" ht="15.75" customHeight="1">
      <c r="D592" s="42"/>
      <c r="E592" s="42"/>
    </row>
    <row r="593" ht="15.75" customHeight="1">
      <c r="D593" s="42"/>
      <c r="E593" s="42"/>
    </row>
    <row r="594" ht="15.75" customHeight="1">
      <c r="D594" s="42"/>
      <c r="E594" s="42"/>
    </row>
    <row r="595" ht="15.75" customHeight="1">
      <c r="D595" s="42"/>
      <c r="E595" s="42"/>
    </row>
    <row r="596" ht="15.75" customHeight="1">
      <c r="D596" s="42"/>
      <c r="E596" s="42"/>
    </row>
    <row r="597" ht="15.75" customHeight="1">
      <c r="D597" s="42"/>
      <c r="E597" s="42"/>
    </row>
    <row r="598" ht="15.75" customHeight="1">
      <c r="D598" s="42"/>
      <c r="E598" s="42"/>
    </row>
    <row r="599" ht="15.75" customHeight="1">
      <c r="D599" s="42"/>
      <c r="E599" s="42"/>
    </row>
    <row r="600" ht="15.75" customHeight="1">
      <c r="D600" s="42"/>
      <c r="E600" s="42"/>
    </row>
    <row r="601" ht="15.75" customHeight="1">
      <c r="D601" s="42"/>
      <c r="E601" s="42"/>
    </row>
    <row r="602" ht="15.75" customHeight="1">
      <c r="D602" s="42"/>
      <c r="E602" s="42"/>
    </row>
    <row r="603" ht="15.75" customHeight="1">
      <c r="D603" s="42"/>
      <c r="E603" s="42"/>
    </row>
    <row r="604" ht="15.75" customHeight="1">
      <c r="D604" s="42"/>
      <c r="E604" s="42"/>
    </row>
    <row r="605" ht="15.75" customHeight="1">
      <c r="D605" s="42"/>
      <c r="E605" s="42"/>
    </row>
    <row r="606" ht="15.75" customHeight="1">
      <c r="D606" s="42"/>
      <c r="E606" s="42"/>
    </row>
    <row r="607" ht="15.75" customHeight="1">
      <c r="D607" s="42"/>
      <c r="E607" s="42"/>
    </row>
    <row r="608" ht="15.75" customHeight="1">
      <c r="D608" s="42"/>
      <c r="E608" s="42"/>
    </row>
    <row r="609" ht="15.75" customHeight="1">
      <c r="D609" s="42"/>
      <c r="E609" s="42"/>
    </row>
    <row r="610" ht="15.75" customHeight="1">
      <c r="D610" s="42"/>
      <c r="E610" s="42"/>
    </row>
    <row r="611" ht="15.75" customHeight="1">
      <c r="D611" s="42"/>
      <c r="E611" s="42"/>
    </row>
    <row r="612" ht="15.75" customHeight="1">
      <c r="D612" s="42"/>
      <c r="E612" s="42"/>
    </row>
    <row r="613" ht="15.75" customHeight="1">
      <c r="D613" s="42"/>
      <c r="E613" s="42"/>
    </row>
    <row r="614" ht="15.75" customHeight="1">
      <c r="D614" s="42"/>
      <c r="E614" s="42"/>
    </row>
    <row r="615" ht="15.75" customHeight="1">
      <c r="D615" s="42"/>
      <c r="E615" s="42"/>
    </row>
    <row r="616" ht="15.75" customHeight="1">
      <c r="D616" s="42"/>
      <c r="E616" s="42"/>
    </row>
    <row r="617" ht="15.75" customHeight="1">
      <c r="D617" s="42"/>
      <c r="E617" s="42"/>
    </row>
    <row r="618" ht="15.75" customHeight="1">
      <c r="D618" s="42"/>
      <c r="E618" s="42"/>
    </row>
    <row r="619" ht="15.75" customHeight="1">
      <c r="D619" s="42"/>
      <c r="E619" s="42"/>
    </row>
    <row r="620" ht="15.75" customHeight="1">
      <c r="D620" s="42"/>
      <c r="E620" s="42"/>
    </row>
    <row r="621" ht="15.75" customHeight="1">
      <c r="D621" s="42"/>
      <c r="E621" s="42"/>
    </row>
    <row r="622" ht="15.75" customHeight="1">
      <c r="D622" s="42"/>
      <c r="E622" s="42"/>
    </row>
    <row r="623" ht="15.75" customHeight="1">
      <c r="D623" s="42"/>
      <c r="E623" s="42"/>
    </row>
    <row r="624" ht="15.75" customHeight="1">
      <c r="D624" s="42"/>
      <c r="E624" s="42"/>
    </row>
    <row r="625" ht="15.75" customHeight="1">
      <c r="D625" s="42"/>
      <c r="E625" s="42"/>
    </row>
    <row r="626" ht="15.75" customHeight="1">
      <c r="D626" s="42"/>
      <c r="E626" s="42"/>
    </row>
    <row r="627" ht="15.75" customHeight="1">
      <c r="D627" s="42"/>
      <c r="E627" s="42"/>
    </row>
    <row r="628" ht="15.75" customHeight="1">
      <c r="D628" s="42"/>
      <c r="E628" s="42"/>
    </row>
    <row r="629" ht="15.75" customHeight="1">
      <c r="D629" s="42"/>
      <c r="E629" s="42"/>
    </row>
    <row r="630" ht="15.75" customHeight="1">
      <c r="D630" s="42"/>
      <c r="E630" s="42"/>
    </row>
    <row r="631" ht="15.75" customHeight="1">
      <c r="D631" s="42"/>
      <c r="E631" s="42"/>
    </row>
    <row r="632" ht="15.75" customHeight="1">
      <c r="D632" s="42"/>
      <c r="E632" s="42"/>
    </row>
    <row r="633" ht="15.75" customHeight="1">
      <c r="D633" s="42"/>
      <c r="E633" s="42"/>
    </row>
    <row r="634" ht="15.75" customHeight="1">
      <c r="D634" s="42"/>
      <c r="E634" s="42"/>
    </row>
    <row r="635" ht="15.75" customHeight="1">
      <c r="D635" s="42"/>
      <c r="E635" s="42"/>
    </row>
    <row r="636" ht="15.75" customHeight="1">
      <c r="D636" s="42"/>
      <c r="E636" s="42"/>
    </row>
    <row r="637" ht="15.75" customHeight="1">
      <c r="D637" s="42"/>
      <c r="E637" s="42"/>
    </row>
    <row r="638" ht="15.75" customHeight="1">
      <c r="D638" s="42"/>
      <c r="E638" s="42"/>
    </row>
    <row r="639" ht="15.75" customHeight="1">
      <c r="D639" s="42"/>
      <c r="E639" s="42"/>
    </row>
    <row r="640" ht="15.75" customHeight="1">
      <c r="D640" s="42"/>
      <c r="E640" s="42"/>
    </row>
    <row r="641" ht="15.75" customHeight="1">
      <c r="D641" s="42"/>
      <c r="E641" s="42"/>
    </row>
    <row r="642" ht="15.75" customHeight="1">
      <c r="D642" s="42"/>
      <c r="E642" s="42"/>
    </row>
    <row r="643" ht="15.75" customHeight="1">
      <c r="D643" s="42"/>
      <c r="E643" s="42"/>
    </row>
    <row r="644" ht="15.75" customHeight="1">
      <c r="D644" s="42"/>
      <c r="E644" s="42"/>
    </row>
    <row r="645" ht="15.75" customHeight="1">
      <c r="D645" s="42"/>
      <c r="E645" s="42"/>
    </row>
    <row r="646" ht="15.75" customHeight="1">
      <c r="D646" s="42"/>
      <c r="E646" s="42"/>
    </row>
    <row r="647" ht="15.75" customHeight="1">
      <c r="D647" s="42"/>
      <c r="E647" s="42"/>
    </row>
    <row r="648" ht="15.75" customHeight="1">
      <c r="D648" s="42"/>
      <c r="E648" s="42"/>
    </row>
    <row r="649" ht="15.75" customHeight="1">
      <c r="D649" s="42"/>
      <c r="E649" s="42"/>
    </row>
    <row r="650" ht="15.75" customHeight="1">
      <c r="D650" s="42"/>
      <c r="E650" s="42"/>
    </row>
    <row r="651" ht="15.75" customHeight="1">
      <c r="D651" s="42"/>
      <c r="E651" s="42"/>
    </row>
    <row r="652" ht="15.75" customHeight="1">
      <c r="D652" s="42"/>
      <c r="E652" s="42"/>
    </row>
    <row r="653" ht="15.75" customHeight="1">
      <c r="D653" s="42"/>
      <c r="E653" s="42"/>
    </row>
    <row r="654" ht="15.75" customHeight="1">
      <c r="D654" s="42"/>
      <c r="E654" s="42"/>
    </row>
    <row r="655" ht="15.75" customHeight="1">
      <c r="D655" s="42"/>
      <c r="E655" s="42"/>
    </row>
    <row r="656" ht="15.75" customHeight="1">
      <c r="D656" s="42"/>
      <c r="E656" s="42"/>
    </row>
    <row r="657" ht="15.75" customHeight="1">
      <c r="D657" s="42"/>
      <c r="E657" s="42"/>
    </row>
    <row r="658" ht="15.75" customHeight="1">
      <c r="D658" s="42"/>
      <c r="E658" s="42"/>
    </row>
    <row r="659" ht="15.75" customHeight="1">
      <c r="D659" s="42"/>
      <c r="E659" s="42"/>
    </row>
    <row r="660" ht="15.75" customHeight="1">
      <c r="D660" s="42"/>
      <c r="E660" s="42"/>
    </row>
    <row r="661" ht="15.75" customHeight="1">
      <c r="D661" s="42"/>
      <c r="E661" s="42"/>
    </row>
    <row r="662" ht="15.75" customHeight="1">
      <c r="D662" s="42"/>
      <c r="E662" s="42"/>
    </row>
    <row r="663" ht="15.75" customHeight="1">
      <c r="D663" s="42"/>
      <c r="E663" s="42"/>
    </row>
    <row r="664" ht="15.75" customHeight="1">
      <c r="D664" s="42"/>
      <c r="E664" s="42"/>
    </row>
    <row r="665" ht="15.75" customHeight="1">
      <c r="D665" s="42"/>
      <c r="E665" s="42"/>
    </row>
    <row r="666" ht="15.75" customHeight="1">
      <c r="D666" s="42"/>
      <c r="E666" s="42"/>
    </row>
    <row r="667" ht="15.75" customHeight="1">
      <c r="D667" s="42"/>
      <c r="E667" s="42"/>
    </row>
    <row r="668" ht="15.75" customHeight="1">
      <c r="D668" s="42"/>
      <c r="E668" s="42"/>
    </row>
    <row r="669" ht="15.75" customHeight="1">
      <c r="D669" s="42"/>
      <c r="E669" s="42"/>
    </row>
    <row r="670" ht="15.75" customHeight="1">
      <c r="D670" s="42"/>
      <c r="E670" s="42"/>
    </row>
    <row r="671" ht="15.75" customHeight="1">
      <c r="D671" s="42"/>
      <c r="E671" s="42"/>
    </row>
    <row r="672" ht="15.75" customHeight="1">
      <c r="D672" s="42"/>
      <c r="E672" s="42"/>
    </row>
    <row r="673" ht="15.75" customHeight="1">
      <c r="D673" s="42"/>
      <c r="E673" s="42"/>
    </row>
    <row r="674" ht="15.75" customHeight="1">
      <c r="D674" s="42"/>
      <c r="E674" s="42"/>
    </row>
    <row r="675" ht="15.75" customHeight="1">
      <c r="D675" s="42"/>
      <c r="E675" s="42"/>
    </row>
    <row r="676" ht="15.75" customHeight="1">
      <c r="D676" s="42"/>
      <c r="E676" s="42"/>
    </row>
    <row r="677" ht="15.75" customHeight="1">
      <c r="D677" s="42"/>
      <c r="E677" s="42"/>
    </row>
    <row r="678" ht="15.75" customHeight="1">
      <c r="D678" s="42"/>
      <c r="E678" s="42"/>
    </row>
    <row r="679" ht="15.75" customHeight="1">
      <c r="D679" s="42"/>
      <c r="E679" s="42"/>
    </row>
    <row r="680" ht="15.75" customHeight="1">
      <c r="D680" s="42"/>
      <c r="E680" s="42"/>
    </row>
    <row r="681" ht="15.75" customHeight="1">
      <c r="D681" s="42"/>
      <c r="E681" s="42"/>
    </row>
    <row r="682" ht="15.75" customHeight="1">
      <c r="D682" s="42"/>
      <c r="E682" s="42"/>
    </row>
    <row r="683" ht="15.75" customHeight="1">
      <c r="D683" s="42"/>
      <c r="E683" s="42"/>
    </row>
    <row r="684" ht="15.75" customHeight="1">
      <c r="D684" s="42"/>
      <c r="E684" s="42"/>
    </row>
    <row r="685" ht="15.75" customHeight="1">
      <c r="D685" s="42"/>
      <c r="E685" s="42"/>
    </row>
    <row r="686" ht="15.75" customHeight="1">
      <c r="D686" s="42"/>
      <c r="E686" s="42"/>
    </row>
    <row r="687" ht="15.75" customHeight="1">
      <c r="D687" s="42"/>
      <c r="E687" s="42"/>
    </row>
    <row r="688" ht="15.75" customHeight="1">
      <c r="D688" s="42"/>
      <c r="E688" s="42"/>
    </row>
    <row r="689" ht="15.75" customHeight="1">
      <c r="D689" s="42"/>
      <c r="E689" s="42"/>
    </row>
    <row r="690" ht="15.75" customHeight="1">
      <c r="D690" s="42"/>
      <c r="E690" s="42"/>
    </row>
    <row r="691" ht="15.75" customHeight="1">
      <c r="D691" s="42"/>
      <c r="E691" s="42"/>
    </row>
    <row r="692" ht="15.75" customHeight="1">
      <c r="D692" s="42"/>
      <c r="E692" s="42"/>
    </row>
    <row r="693" ht="15.75" customHeight="1">
      <c r="D693" s="42"/>
      <c r="E693" s="42"/>
    </row>
    <row r="694" ht="15.75" customHeight="1">
      <c r="D694" s="42"/>
      <c r="E694" s="42"/>
    </row>
    <row r="695" ht="15.75" customHeight="1">
      <c r="D695" s="42"/>
      <c r="E695" s="42"/>
    </row>
    <row r="696" ht="15.75" customHeight="1">
      <c r="D696" s="42"/>
      <c r="E696" s="42"/>
    </row>
    <row r="697" ht="15.75" customHeight="1">
      <c r="D697" s="42"/>
      <c r="E697" s="42"/>
    </row>
    <row r="698" ht="15.75" customHeight="1">
      <c r="D698" s="42"/>
      <c r="E698" s="42"/>
    </row>
    <row r="699" ht="15.75" customHeight="1">
      <c r="D699" s="42"/>
      <c r="E699" s="42"/>
    </row>
    <row r="700" ht="15.75" customHeight="1">
      <c r="D700" s="42"/>
      <c r="E700" s="42"/>
    </row>
    <row r="701" ht="15.75" customHeight="1">
      <c r="D701" s="42"/>
      <c r="E701" s="42"/>
    </row>
    <row r="702" ht="15.75" customHeight="1">
      <c r="D702" s="42"/>
      <c r="E702" s="42"/>
    </row>
    <row r="703" ht="15.75" customHeight="1">
      <c r="D703" s="42"/>
      <c r="E703" s="42"/>
    </row>
    <row r="704" ht="15.75" customHeight="1">
      <c r="D704" s="42"/>
      <c r="E704" s="42"/>
    </row>
    <row r="705" ht="15.75" customHeight="1">
      <c r="D705" s="42"/>
      <c r="E705" s="42"/>
    </row>
    <row r="706" ht="15.75" customHeight="1">
      <c r="D706" s="42"/>
      <c r="E706" s="42"/>
    </row>
    <row r="707" ht="15.75" customHeight="1">
      <c r="D707" s="42"/>
      <c r="E707" s="42"/>
    </row>
    <row r="708" ht="15.75" customHeight="1">
      <c r="D708" s="42"/>
      <c r="E708" s="42"/>
    </row>
    <row r="709" ht="15.75" customHeight="1">
      <c r="D709" s="42"/>
      <c r="E709" s="42"/>
    </row>
    <row r="710" ht="15.75" customHeight="1">
      <c r="D710" s="42"/>
      <c r="E710" s="42"/>
    </row>
    <row r="711" ht="15.75" customHeight="1">
      <c r="D711" s="42"/>
      <c r="E711" s="42"/>
    </row>
    <row r="712" ht="15.75" customHeight="1">
      <c r="D712" s="42"/>
      <c r="E712" s="42"/>
    </row>
    <row r="713" ht="15.75" customHeight="1">
      <c r="D713" s="42"/>
      <c r="E713" s="42"/>
    </row>
    <row r="714" ht="15.75" customHeight="1">
      <c r="D714" s="42"/>
      <c r="E714" s="42"/>
    </row>
    <row r="715" ht="15.75" customHeight="1">
      <c r="D715" s="42"/>
      <c r="E715" s="42"/>
    </row>
    <row r="716" ht="15.75" customHeight="1">
      <c r="D716" s="42"/>
      <c r="E716" s="42"/>
    </row>
    <row r="717" ht="15.75" customHeight="1">
      <c r="D717" s="42"/>
      <c r="E717" s="42"/>
    </row>
    <row r="718" ht="15.75" customHeight="1">
      <c r="D718" s="42"/>
      <c r="E718" s="42"/>
    </row>
    <row r="719" ht="15.75" customHeight="1">
      <c r="D719" s="42"/>
      <c r="E719" s="42"/>
    </row>
    <row r="720" ht="15.75" customHeight="1">
      <c r="D720" s="42"/>
      <c r="E720" s="42"/>
    </row>
    <row r="721" ht="15.75" customHeight="1">
      <c r="D721" s="42"/>
      <c r="E721" s="42"/>
    </row>
    <row r="722" ht="15.75" customHeight="1">
      <c r="D722" s="42"/>
      <c r="E722" s="42"/>
    </row>
    <row r="723" ht="15.75" customHeight="1">
      <c r="D723" s="42"/>
      <c r="E723" s="42"/>
    </row>
    <row r="724" ht="15.75" customHeight="1">
      <c r="D724" s="42"/>
      <c r="E724" s="42"/>
    </row>
    <row r="725" ht="15.75" customHeight="1">
      <c r="D725" s="42"/>
      <c r="E725" s="42"/>
    </row>
    <row r="726" ht="15.75" customHeight="1">
      <c r="D726" s="42"/>
      <c r="E726" s="42"/>
    </row>
    <row r="727" ht="15.75" customHeight="1">
      <c r="D727" s="42"/>
      <c r="E727" s="42"/>
    </row>
    <row r="728" ht="15.75" customHeight="1">
      <c r="D728" s="42"/>
      <c r="E728" s="42"/>
    </row>
    <row r="729" ht="15.75" customHeight="1">
      <c r="D729" s="42"/>
      <c r="E729" s="42"/>
    </row>
    <row r="730" ht="15.75" customHeight="1">
      <c r="D730" s="42"/>
      <c r="E730" s="42"/>
    </row>
    <row r="731" ht="15.75" customHeight="1">
      <c r="D731" s="42"/>
      <c r="E731" s="42"/>
    </row>
    <row r="732" ht="15.75" customHeight="1">
      <c r="D732" s="42"/>
      <c r="E732" s="42"/>
    </row>
    <row r="733" ht="15.75" customHeight="1">
      <c r="D733" s="42"/>
      <c r="E733" s="42"/>
    </row>
    <row r="734" ht="15.75" customHeight="1">
      <c r="D734" s="42"/>
      <c r="E734" s="42"/>
    </row>
    <row r="735" ht="15.75" customHeight="1">
      <c r="D735" s="42"/>
      <c r="E735" s="42"/>
    </row>
    <row r="736" ht="15.75" customHeight="1">
      <c r="D736" s="42"/>
      <c r="E736" s="42"/>
    </row>
    <row r="737" ht="15.75" customHeight="1">
      <c r="D737" s="42"/>
      <c r="E737" s="42"/>
    </row>
    <row r="738" ht="15.75" customHeight="1">
      <c r="D738" s="42"/>
      <c r="E738" s="42"/>
    </row>
    <row r="739" ht="15.75" customHeight="1">
      <c r="D739" s="42"/>
      <c r="E739" s="42"/>
    </row>
    <row r="740" ht="15.75" customHeight="1">
      <c r="D740" s="42"/>
      <c r="E740" s="42"/>
    </row>
    <row r="741" ht="15.75" customHeight="1">
      <c r="D741" s="42"/>
      <c r="E741" s="42"/>
    </row>
    <row r="742" ht="15.75" customHeight="1">
      <c r="D742" s="42"/>
      <c r="E742" s="42"/>
    </row>
    <row r="743" ht="15.75" customHeight="1">
      <c r="D743" s="42"/>
      <c r="E743" s="42"/>
    </row>
    <row r="744" ht="15.75" customHeight="1">
      <c r="D744" s="42"/>
      <c r="E744" s="42"/>
    </row>
    <row r="745" ht="15.75" customHeight="1">
      <c r="D745" s="42"/>
      <c r="E745" s="42"/>
    </row>
    <row r="746" ht="15.75" customHeight="1">
      <c r="D746" s="42"/>
      <c r="E746" s="42"/>
    </row>
    <row r="747" ht="15.75" customHeight="1">
      <c r="D747" s="42"/>
      <c r="E747" s="42"/>
    </row>
    <row r="748" ht="15.75" customHeight="1">
      <c r="D748" s="42"/>
      <c r="E748" s="42"/>
    </row>
    <row r="749" ht="15.75" customHeight="1">
      <c r="D749" s="42"/>
      <c r="E749" s="42"/>
    </row>
    <row r="750" ht="15.75" customHeight="1">
      <c r="D750" s="42"/>
      <c r="E750" s="42"/>
    </row>
    <row r="751" ht="15.75" customHeight="1">
      <c r="D751" s="42"/>
      <c r="E751" s="42"/>
    </row>
    <row r="752" ht="15.75" customHeight="1">
      <c r="D752" s="42"/>
      <c r="E752" s="42"/>
    </row>
    <row r="753" ht="15.75" customHeight="1">
      <c r="D753" s="42"/>
      <c r="E753" s="42"/>
    </row>
    <row r="754" ht="15.75" customHeight="1">
      <c r="D754" s="42"/>
      <c r="E754" s="42"/>
    </row>
    <row r="755" ht="15.75" customHeight="1">
      <c r="D755" s="42"/>
      <c r="E755" s="42"/>
    </row>
    <row r="756" ht="15.75" customHeight="1">
      <c r="D756" s="42"/>
      <c r="E756" s="42"/>
    </row>
    <row r="757" ht="15.75" customHeight="1">
      <c r="D757" s="42"/>
      <c r="E757" s="42"/>
    </row>
    <row r="758" ht="15.75" customHeight="1">
      <c r="D758" s="42"/>
      <c r="E758" s="42"/>
    </row>
    <row r="759" ht="15.75" customHeight="1">
      <c r="D759" s="42"/>
      <c r="E759" s="42"/>
    </row>
    <row r="760" ht="15.75" customHeight="1">
      <c r="D760" s="42"/>
      <c r="E760" s="42"/>
    </row>
    <row r="761" ht="15.75" customHeight="1">
      <c r="D761" s="42"/>
      <c r="E761" s="42"/>
    </row>
    <row r="762" ht="15.75" customHeight="1">
      <c r="D762" s="42"/>
      <c r="E762" s="42"/>
    </row>
    <row r="763" ht="15.75" customHeight="1">
      <c r="D763" s="42"/>
      <c r="E763" s="42"/>
    </row>
    <row r="764" ht="15.75" customHeight="1">
      <c r="D764" s="42"/>
      <c r="E764" s="42"/>
    </row>
    <row r="765" ht="15.75" customHeight="1">
      <c r="D765" s="42"/>
      <c r="E765" s="42"/>
    </row>
    <row r="766" ht="15.75" customHeight="1">
      <c r="D766" s="42"/>
      <c r="E766" s="42"/>
    </row>
    <row r="767" ht="15.75" customHeight="1">
      <c r="D767" s="42"/>
      <c r="E767" s="42"/>
    </row>
    <row r="768" ht="15.75" customHeight="1">
      <c r="D768" s="42"/>
      <c r="E768" s="42"/>
    </row>
    <row r="769" ht="15.75" customHeight="1">
      <c r="D769" s="42"/>
      <c r="E769" s="42"/>
    </row>
    <row r="770" ht="15.75" customHeight="1">
      <c r="D770" s="42"/>
      <c r="E770" s="42"/>
    </row>
    <row r="771" ht="15.75" customHeight="1">
      <c r="D771" s="42"/>
      <c r="E771" s="42"/>
    </row>
    <row r="772" ht="15.75" customHeight="1">
      <c r="D772" s="42"/>
      <c r="E772" s="42"/>
    </row>
    <row r="773" ht="15.75" customHeight="1">
      <c r="D773" s="42"/>
      <c r="E773" s="42"/>
    </row>
    <row r="774" ht="15.75" customHeight="1">
      <c r="D774" s="42"/>
      <c r="E774" s="42"/>
    </row>
    <row r="775" ht="15.75" customHeight="1">
      <c r="D775" s="42"/>
      <c r="E775" s="42"/>
    </row>
    <row r="776" ht="15.75" customHeight="1">
      <c r="D776" s="42"/>
      <c r="E776" s="42"/>
    </row>
    <row r="777" ht="15.75" customHeight="1">
      <c r="D777" s="42"/>
      <c r="E777" s="42"/>
    </row>
    <row r="778" ht="15.75" customHeight="1">
      <c r="D778" s="42"/>
      <c r="E778" s="42"/>
    </row>
    <row r="779" ht="15.75" customHeight="1">
      <c r="D779" s="42"/>
      <c r="E779" s="42"/>
    </row>
    <row r="780" ht="15.75" customHeight="1">
      <c r="D780" s="42"/>
      <c r="E780" s="42"/>
    </row>
    <row r="781" ht="15.75" customHeight="1">
      <c r="D781" s="42"/>
      <c r="E781" s="42"/>
    </row>
    <row r="782" ht="15.75" customHeight="1">
      <c r="D782" s="42"/>
      <c r="E782" s="42"/>
    </row>
    <row r="783" ht="15.75" customHeight="1">
      <c r="D783" s="42"/>
      <c r="E783" s="42"/>
    </row>
    <row r="784" ht="15.75" customHeight="1">
      <c r="D784" s="42"/>
      <c r="E784" s="42"/>
    </row>
    <row r="785" ht="15.75" customHeight="1">
      <c r="D785" s="42"/>
      <c r="E785" s="42"/>
    </row>
    <row r="786" ht="15.75" customHeight="1">
      <c r="D786" s="42"/>
      <c r="E786" s="42"/>
    </row>
    <row r="787" ht="15.75" customHeight="1">
      <c r="D787" s="42"/>
      <c r="E787" s="42"/>
    </row>
    <row r="788" ht="15.75" customHeight="1">
      <c r="D788" s="42"/>
      <c r="E788" s="42"/>
    </row>
    <row r="789" ht="15.75" customHeight="1">
      <c r="D789" s="42"/>
      <c r="E789" s="42"/>
    </row>
    <row r="790" ht="15.75" customHeight="1">
      <c r="D790" s="42"/>
      <c r="E790" s="42"/>
    </row>
    <row r="791" ht="15.75" customHeight="1">
      <c r="D791" s="42"/>
      <c r="E791" s="42"/>
    </row>
    <row r="792" ht="15.75" customHeight="1">
      <c r="D792" s="42"/>
      <c r="E792" s="42"/>
    </row>
    <row r="793" ht="15.75" customHeight="1">
      <c r="D793" s="42"/>
      <c r="E793" s="42"/>
    </row>
    <row r="794" ht="15.75" customHeight="1">
      <c r="D794" s="42"/>
      <c r="E794" s="42"/>
    </row>
    <row r="795" ht="15.75" customHeight="1">
      <c r="D795" s="42"/>
      <c r="E795" s="42"/>
    </row>
    <row r="796" ht="15.75" customHeight="1">
      <c r="D796" s="42"/>
      <c r="E796" s="42"/>
    </row>
    <row r="797" ht="15.75" customHeight="1">
      <c r="D797" s="42"/>
      <c r="E797" s="42"/>
    </row>
    <row r="798" ht="15.75" customHeight="1">
      <c r="D798" s="42"/>
      <c r="E798" s="42"/>
    </row>
    <row r="799" ht="15.75" customHeight="1">
      <c r="D799" s="42"/>
      <c r="E799" s="42"/>
    </row>
    <row r="800" ht="15.75" customHeight="1">
      <c r="D800" s="42"/>
      <c r="E800" s="42"/>
    </row>
    <row r="801" ht="15.75" customHeight="1">
      <c r="D801" s="42"/>
      <c r="E801" s="42"/>
    </row>
    <row r="802" ht="15.75" customHeight="1">
      <c r="D802" s="42"/>
      <c r="E802" s="42"/>
    </row>
    <row r="803" ht="15.75" customHeight="1">
      <c r="D803" s="42"/>
      <c r="E803" s="42"/>
    </row>
    <row r="804" ht="15.75" customHeight="1">
      <c r="D804" s="42"/>
      <c r="E804" s="42"/>
    </row>
    <row r="805" ht="15.75" customHeight="1">
      <c r="D805" s="42"/>
      <c r="E805" s="42"/>
    </row>
    <row r="806" ht="15.75" customHeight="1">
      <c r="D806" s="42"/>
      <c r="E806" s="42"/>
    </row>
    <row r="807" ht="15.75" customHeight="1">
      <c r="D807" s="42"/>
      <c r="E807" s="42"/>
    </row>
    <row r="808" ht="15.75" customHeight="1">
      <c r="D808" s="42"/>
      <c r="E808" s="42"/>
    </row>
    <row r="809" ht="15.75" customHeight="1">
      <c r="D809" s="42"/>
      <c r="E809" s="42"/>
    </row>
    <row r="810" ht="15.75" customHeight="1">
      <c r="D810" s="42"/>
      <c r="E810" s="42"/>
    </row>
    <row r="811" ht="15.75" customHeight="1">
      <c r="D811" s="42"/>
      <c r="E811" s="42"/>
    </row>
    <row r="812" ht="15.75" customHeight="1">
      <c r="D812" s="42"/>
      <c r="E812" s="42"/>
    </row>
    <row r="813" ht="15.75" customHeight="1">
      <c r="D813" s="42"/>
      <c r="E813" s="42"/>
    </row>
    <row r="814" ht="15.75" customHeight="1">
      <c r="D814" s="42"/>
      <c r="E814" s="42"/>
    </row>
    <row r="815" ht="15.75" customHeight="1">
      <c r="D815" s="42"/>
      <c r="E815" s="42"/>
    </row>
    <row r="816" ht="15.75" customHeight="1">
      <c r="D816" s="42"/>
      <c r="E816" s="42"/>
    </row>
    <row r="817" ht="15.75" customHeight="1">
      <c r="D817" s="42"/>
      <c r="E817" s="42"/>
    </row>
    <row r="818" ht="15.75" customHeight="1">
      <c r="D818" s="42"/>
      <c r="E818" s="42"/>
    </row>
    <row r="819" ht="15.75" customHeight="1">
      <c r="D819" s="42"/>
      <c r="E819" s="42"/>
    </row>
    <row r="820" ht="15.75" customHeight="1">
      <c r="D820" s="42"/>
      <c r="E820" s="42"/>
    </row>
    <row r="821" ht="15.75" customHeight="1">
      <c r="D821" s="42"/>
      <c r="E821" s="42"/>
    </row>
    <row r="822" ht="15.75" customHeight="1">
      <c r="D822" s="42"/>
      <c r="E822" s="42"/>
    </row>
    <row r="823" ht="15.75" customHeight="1">
      <c r="D823" s="42"/>
      <c r="E823" s="42"/>
    </row>
    <row r="824" ht="15.75" customHeight="1">
      <c r="D824" s="42"/>
      <c r="E824" s="42"/>
    </row>
    <row r="825" ht="15.75" customHeight="1">
      <c r="D825" s="42"/>
      <c r="E825" s="42"/>
    </row>
    <row r="826" ht="15.75" customHeight="1">
      <c r="D826" s="42"/>
      <c r="E826" s="42"/>
    </row>
    <row r="827" ht="15.75" customHeight="1">
      <c r="D827" s="42"/>
      <c r="E827" s="42"/>
    </row>
    <row r="828" ht="15.75" customHeight="1">
      <c r="D828" s="42"/>
      <c r="E828" s="42"/>
    </row>
    <row r="829" ht="15.75" customHeight="1">
      <c r="D829" s="42"/>
      <c r="E829" s="42"/>
    </row>
    <row r="830" ht="15.75" customHeight="1">
      <c r="D830" s="42"/>
      <c r="E830" s="42"/>
    </row>
    <row r="831" ht="15.75" customHeight="1">
      <c r="D831" s="42"/>
      <c r="E831" s="42"/>
    </row>
    <row r="832" ht="15.75" customHeight="1">
      <c r="D832" s="42"/>
      <c r="E832" s="42"/>
    </row>
    <row r="833" ht="15.75" customHeight="1">
      <c r="D833" s="42"/>
      <c r="E833" s="42"/>
    </row>
    <row r="834" ht="15.75" customHeight="1">
      <c r="D834" s="42"/>
      <c r="E834" s="42"/>
    </row>
    <row r="835" ht="15.75" customHeight="1">
      <c r="D835" s="42"/>
      <c r="E835" s="42"/>
    </row>
    <row r="836" ht="15.75" customHeight="1">
      <c r="D836" s="42"/>
      <c r="E836" s="42"/>
    </row>
    <row r="837" ht="15.75" customHeight="1">
      <c r="D837" s="42"/>
      <c r="E837" s="42"/>
    </row>
    <row r="838" ht="15.75" customHeight="1">
      <c r="D838" s="42"/>
      <c r="E838" s="42"/>
    </row>
    <row r="839" ht="15.75" customHeight="1">
      <c r="D839" s="42"/>
      <c r="E839" s="42"/>
    </row>
    <row r="840" ht="15.75" customHeight="1">
      <c r="D840" s="42"/>
      <c r="E840" s="42"/>
    </row>
    <row r="841" ht="15.75" customHeight="1">
      <c r="D841" s="42"/>
      <c r="E841" s="42"/>
    </row>
    <row r="842" ht="15.75" customHeight="1">
      <c r="D842" s="42"/>
      <c r="E842" s="42"/>
    </row>
    <row r="843" ht="15.75" customHeight="1">
      <c r="D843" s="42"/>
      <c r="E843" s="42"/>
    </row>
    <row r="844" ht="15.75" customHeight="1">
      <c r="D844" s="42"/>
      <c r="E844" s="42"/>
    </row>
    <row r="845" ht="15.75" customHeight="1">
      <c r="D845" s="42"/>
      <c r="E845" s="42"/>
    </row>
    <row r="846" ht="15.75" customHeight="1">
      <c r="D846" s="42"/>
      <c r="E846" s="42"/>
    </row>
    <row r="847" ht="15.75" customHeight="1">
      <c r="D847" s="42"/>
      <c r="E847" s="42"/>
    </row>
    <row r="848" ht="15.75" customHeight="1">
      <c r="D848" s="42"/>
      <c r="E848" s="42"/>
    </row>
    <row r="849" ht="15.75" customHeight="1">
      <c r="D849" s="42"/>
      <c r="E849" s="42"/>
    </row>
    <row r="850" ht="15.75" customHeight="1">
      <c r="D850" s="42"/>
      <c r="E850" s="42"/>
    </row>
    <row r="851" ht="15.75" customHeight="1">
      <c r="D851" s="42"/>
      <c r="E851" s="42"/>
    </row>
    <row r="852" ht="15.75" customHeight="1">
      <c r="D852" s="42"/>
      <c r="E852" s="42"/>
    </row>
    <row r="853" ht="15.75" customHeight="1">
      <c r="D853" s="42"/>
      <c r="E853" s="42"/>
    </row>
    <row r="854" ht="15.75" customHeight="1">
      <c r="D854" s="42"/>
      <c r="E854" s="42"/>
    </row>
    <row r="855" ht="15.75" customHeight="1">
      <c r="D855" s="42"/>
      <c r="E855" s="42"/>
    </row>
    <row r="856" ht="15.75" customHeight="1">
      <c r="D856" s="42"/>
      <c r="E856" s="42"/>
    </row>
    <row r="857" ht="15.75" customHeight="1">
      <c r="D857" s="42"/>
      <c r="E857" s="42"/>
    </row>
    <row r="858" ht="15.75" customHeight="1">
      <c r="D858" s="42"/>
      <c r="E858" s="42"/>
    </row>
    <row r="859" ht="15.75" customHeight="1">
      <c r="D859" s="42"/>
      <c r="E859" s="42"/>
    </row>
    <row r="860" ht="15.75" customHeight="1">
      <c r="D860" s="42"/>
      <c r="E860" s="42"/>
    </row>
    <row r="861" ht="15.75" customHeight="1">
      <c r="D861" s="42"/>
      <c r="E861" s="42"/>
    </row>
    <row r="862" ht="15.75" customHeight="1">
      <c r="D862" s="42"/>
      <c r="E862" s="42"/>
    </row>
    <row r="863" ht="15.75" customHeight="1">
      <c r="D863" s="42"/>
      <c r="E863" s="42"/>
    </row>
    <row r="864" ht="15.75" customHeight="1">
      <c r="D864" s="42"/>
      <c r="E864" s="42"/>
    </row>
    <row r="865" ht="15.75" customHeight="1">
      <c r="D865" s="42"/>
      <c r="E865" s="42"/>
    </row>
    <row r="866" ht="15.75" customHeight="1">
      <c r="D866" s="42"/>
      <c r="E866" s="42"/>
    </row>
    <row r="867" ht="15.75" customHeight="1">
      <c r="D867" s="42"/>
      <c r="E867" s="42"/>
    </row>
    <row r="868" ht="15.75" customHeight="1">
      <c r="D868" s="42"/>
      <c r="E868" s="42"/>
    </row>
    <row r="869" ht="15.75" customHeight="1">
      <c r="D869" s="42"/>
      <c r="E869" s="42"/>
    </row>
    <row r="870" ht="15.75" customHeight="1">
      <c r="D870" s="42"/>
      <c r="E870" s="42"/>
    </row>
    <row r="871" ht="15.75" customHeight="1">
      <c r="D871" s="42"/>
      <c r="E871" s="42"/>
    </row>
    <row r="872" ht="15.75" customHeight="1">
      <c r="D872" s="42"/>
      <c r="E872" s="42"/>
    </row>
    <row r="873" ht="15.75" customHeight="1">
      <c r="D873" s="42"/>
      <c r="E873" s="42"/>
    </row>
    <row r="874" ht="15.75" customHeight="1">
      <c r="D874" s="42"/>
      <c r="E874" s="42"/>
    </row>
    <row r="875" ht="15.75" customHeight="1">
      <c r="D875" s="42"/>
      <c r="E875" s="42"/>
    </row>
    <row r="876" ht="15.75" customHeight="1">
      <c r="D876" s="42"/>
      <c r="E876" s="42"/>
    </row>
    <row r="877" ht="15.75" customHeight="1">
      <c r="D877" s="42"/>
      <c r="E877" s="42"/>
    </row>
    <row r="878" ht="15.75" customHeight="1">
      <c r="D878" s="42"/>
      <c r="E878" s="42"/>
    </row>
    <row r="879" ht="15.75" customHeight="1">
      <c r="D879" s="42"/>
      <c r="E879" s="42"/>
    </row>
    <row r="880" ht="15.75" customHeight="1">
      <c r="D880" s="42"/>
      <c r="E880" s="42"/>
    </row>
    <row r="881" ht="15.75" customHeight="1">
      <c r="D881" s="42"/>
      <c r="E881" s="42"/>
    </row>
    <row r="882" ht="15.75" customHeight="1">
      <c r="D882" s="42"/>
      <c r="E882" s="42"/>
    </row>
    <row r="883" ht="15.75" customHeight="1">
      <c r="D883" s="42"/>
      <c r="E883" s="42"/>
    </row>
    <row r="884" ht="15.75" customHeight="1">
      <c r="D884" s="42"/>
      <c r="E884" s="42"/>
    </row>
    <row r="885" ht="15.75" customHeight="1">
      <c r="D885" s="42"/>
      <c r="E885" s="42"/>
    </row>
    <row r="886" ht="15.75" customHeight="1">
      <c r="D886" s="42"/>
      <c r="E886" s="42"/>
    </row>
    <row r="887" ht="15.75" customHeight="1">
      <c r="D887" s="42"/>
      <c r="E887" s="42"/>
    </row>
    <row r="888" ht="15.75" customHeight="1">
      <c r="D888" s="42"/>
      <c r="E888" s="42"/>
    </row>
    <row r="889" ht="15.75" customHeight="1">
      <c r="D889" s="42"/>
      <c r="E889" s="42"/>
    </row>
    <row r="890" ht="15.75" customHeight="1">
      <c r="D890" s="42"/>
      <c r="E890" s="42"/>
    </row>
    <row r="891" ht="15.75" customHeight="1">
      <c r="D891" s="42"/>
      <c r="E891" s="42"/>
    </row>
    <row r="892" ht="15.75" customHeight="1">
      <c r="D892" s="42"/>
      <c r="E892" s="42"/>
    </row>
    <row r="893" ht="15.75" customHeight="1">
      <c r="D893" s="42"/>
      <c r="E893" s="42"/>
    </row>
    <row r="894" ht="15.75" customHeight="1">
      <c r="D894" s="42"/>
      <c r="E894" s="42"/>
    </row>
    <row r="895" ht="15.75" customHeight="1">
      <c r="D895" s="42"/>
      <c r="E895" s="42"/>
    </row>
    <row r="896" ht="15.75" customHeight="1">
      <c r="D896" s="42"/>
      <c r="E896" s="42"/>
    </row>
    <row r="897" ht="15.75" customHeight="1">
      <c r="D897" s="42"/>
      <c r="E897" s="42"/>
    </row>
    <row r="898" ht="15.75" customHeight="1">
      <c r="D898" s="42"/>
      <c r="E898" s="42"/>
    </row>
    <row r="899" ht="15.75" customHeight="1">
      <c r="D899" s="42"/>
      <c r="E899" s="42"/>
    </row>
    <row r="900" ht="15.75" customHeight="1">
      <c r="D900" s="42"/>
      <c r="E900" s="42"/>
    </row>
    <row r="901" ht="15.75" customHeight="1">
      <c r="D901" s="42"/>
      <c r="E901" s="42"/>
    </row>
    <row r="902" ht="15.75" customHeight="1">
      <c r="D902" s="42"/>
      <c r="E902" s="42"/>
    </row>
    <row r="903" ht="15.75" customHeight="1">
      <c r="D903" s="42"/>
      <c r="E903" s="42"/>
    </row>
    <row r="904" ht="15.75" customHeight="1">
      <c r="D904" s="42"/>
      <c r="E904" s="42"/>
    </row>
    <row r="905" ht="15.75" customHeight="1">
      <c r="D905" s="42"/>
      <c r="E905" s="42"/>
    </row>
    <row r="906" ht="15.75" customHeight="1">
      <c r="D906" s="42"/>
      <c r="E906" s="42"/>
    </row>
    <row r="907" ht="15.75" customHeight="1">
      <c r="D907" s="42"/>
      <c r="E907" s="42"/>
    </row>
    <row r="908" ht="15.75" customHeight="1">
      <c r="D908" s="42"/>
      <c r="E908" s="42"/>
    </row>
    <row r="909" ht="15.75" customHeight="1">
      <c r="D909" s="42"/>
      <c r="E909" s="42"/>
    </row>
    <row r="910" ht="15.75" customHeight="1">
      <c r="D910" s="42"/>
      <c r="E910" s="42"/>
    </row>
    <row r="911" ht="15.75" customHeight="1">
      <c r="D911" s="42"/>
      <c r="E911" s="42"/>
    </row>
    <row r="912" ht="15.75" customHeight="1">
      <c r="D912" s="42"/>
      <c r="E912" s="42"/>
    </row>
    <row r="913" ht="15.75" customHeight="1">
      <c r="D913" s="42"/>
      <c r="E913" s="42"/>
    </row>
    <row r="914" ht="15.75" customHeight="1">
      <c r="D914" s="42"/>
      <c r="E914" s="42"/>
    </row>
    <row r="915" ht="15.75" customHeight="1">
      <c r="D915" s="42"/>
      <c r="E915" s="42"/>
    </row>
    <row r="916" ht="15.75" customHeight="1">
      <c r="D916" s="42"/>
      <c r="E916" s="42"/>
    </row>
    <row r="917" ht="15.75" customHeight="1">
      <c r="D917" s="42"/>
      <c r="E917" s="42"/>
    </row>
    <row r="918" ht="15.75" customHeight="1">
      <c r="D918" s="42"/>
      <c r="E918" s="42"/>
    </row>
    <row r="919" ht="15.75" customHeight="1">
      <c r="D919" s="42"/>
      <c r="E919" s="42"/>
    </row>
    <row r="920" ht="15.75" customHeight="1">
      <c r="D920" s="42"/>
      <c r="E920" s="42"/>
    </row>
    <row r="921" ht="15.75" customHeight="1">
      <c r="D921" s="42"/>
      <c r="E921" s="42"/>
    </row>
    <row r="922" ht="15.75" customHeight="1">
      <c r="D922" s="42"/>
      <c r="E922" s="42"/>
    </row>
    <row r="923" ht="15.75" customHeight="1">
      <c r="D923" s="42"/>
      <c r="E923" s="42"/>
    </row>
    <row r="924" ht="15.75" customHeight="1">
      <c r="D924" s="42"/>
      <c r="E924" s="42"/>
    </row>
    <row r="925" ht="15.75" customHeight="1">
      <c r="D925" s="42"/>
      <c r="E925" s="42"/>
    </row>
    <row r="926" ht="15.75" customHeight="1">
      <c r="D926" s="42"/>
      <c r="E926" s="42"/>
    </row>
    <row r="927" ht="15.75" customHeight="1">
      <c r="D927" s="42"/>
      <c r="E927" s="42"/>
    </row>
    <row r="928" ht="15.75" customHeight="1">
      <c r="D928" s="42"/>
      <c r="E928" s="42"/>
    </row>
    <row r="929" ht="15.75" customHeight="1">
      <c r="D929" s="42"/>
      <c r="E929" s="42"/>
    </row>
    <row r="930" ht="15.75" customHeight="1">
      <c r="D930" s="42"/>
      <c r="E930" s="42"/>
    </row>
    <row r="931" ht="15.75" customHeight="1">
      <c r="D931" s="42"/>
      <c r="E931" s="42"/>
    </row>
    <row r="932" ht="15.75" customHeight="1">
      <c r="D932" s="42"/>
      <c r="E932" s="42"/>
    </row>
    <row r="933" ht="15.75" customHeight="1">
      <c r="D933" s="42"/>
      <c r="E933" s="42"/>
    </row>
    <row r="934" ht="15.75" customHeight="1">
      <c r="D934" s="42"/>
      <c r="E934" s="42"/>
    </row>
    <row r="935" ht="15.75" customHeight="1">
      <c r="D935" s="42"/>
      <c r="E935" s="42"/>
    </row>
    <row r="936" ht="15.75" customHeight="1">
      <c r="D936" s="42"/>
      <c r="E936" s="42"/>
    </row>
    <row r="937" ht="15.75" customHeight="1">
      <c r="D937" s="42"/>
      <c r="E937" s="42"/>
    </row>
    <row r="938" ht="15.75" customHeight="1">
      <c r="D938" s="42"/>
      <c r="E938" s="42"/>
    </row>
    <row r="939" ht="15.75" customHeight="1">
      <c r="D939" s="42"/>
      <c r="E939" s="42"/>
    </row>
    <row r="940" ht="15.75" customHeight="1">
      <c r="D940" s="42"/>
      <c r="E940" s="42"/>
    </row>
    <row r="941" ht="15.75" customHeight="1">
      <c r="D941" s="42"/>
      <c r="E941" s="42"/>
    </row>
    <row r="942" ht="15.75" customHeight="1">
      <c r="D942" s="42"/>
      <c r="E942" s="42"/>
    </row>
    <row r="943" ht="15.75" customHeight="1">
      <c r="D943" s="42"/>
      <c r="E943" s="42"/>
    </row>
    <row r="944" ht="15.75" customHeight="1">
      <c r="D944" s="42"/>
      <c r="E944" s="42"/>
    </row>
    <row r="945" ht="15.75" customHeight="1">
      <c r="D945" s="42"/>
      <c r="E945" s="42"/>
    </row>
    <row r="946" ht="15.75" customHeight="1">
      <c r="D946" s="42"/>
      <c r="E946" s="42"/>
    </row>
    <row r="947" ht="15.75" customHeight="1">
      <c r="D947" s="42"/>
      <c r="E947" s="42"/>
    </row>
    <row r="948" ht="15.75" customHeight="1">
      <c r="D948" s="42"/>
      <c r="E948" s="42"/>
    </row>
    <row r="949" ht="15.75" customHeight="1">
      <c r="D949" s="42"/>
      <c r="E949" s="42"/>
    </row>
    <row r="950" ht="15.75" customHeight="1">
      <c r="D950" s="42"/>
      <c r="E950" s="42"/>
    </row>
    <row r="951" ht="15.75" customHeight="1">
      <c r="D951" s="42"/>
      <c r="E951" s="42"/>
    </row>
    <row r="952" ht="15.75" customHeight="1">
      <c r="D952" s="42"/>
      <c r="E952" s="42"/>
    </row>
    <row r="953" ht="15.75" customHeight="1">
      <c r="D953" s="42"/>
      <c r="E953" s="42"/>
    </row>
    <row r="954" ht="15.75" customHeight="1">
      <c r="D954" s="42"/>
      <c r="E954" s="42"/>
    </row>
    <row r="955" ht="15.75" customHeight="1">
      <c r="D955" s="42"/>
      <c r="E955" s="42"/>
    </row>
    <row r="956" ht="15.75" customHeight="1">
      <c r="D956" s="42"/>
      <c r="E956" s="42"/>
    </row>
    <row r="957" ht="15.75" customHeight="1">
      <c r="D957" s="42"/>
      <c r="E957" s="42"/>
    </row>
    <row r="958" ht="15.75" customHeight="1">
      <c r="D958" s="42"/>
      <c r="E958" s="42"/>
    </row>
    <row r="959" ht="15.75" customHeight="1">
      <c r="D959" s="42"/>
      <c r="E959" s="42"/>
    </row>
    <row r="960" ht="15.75" customHeight="1">
      <c r="D960" s="42"/>
      <c r="E960" s="42"/>
    </row>
    <row r="961" ht="15.75" customHeight="1">
      <c r="D961" s="42"/>
      <c r="E961" s="42"/>
    </row>
    <row r="962" ht="15.75" customHeight="1">
      <c r="D962" s="42"/>
      <c r="E962" s="42"/>
    </row>
    <row r="963" ht="15.75" customHeight="1">
      <c r="D963" s="42"/>
      <c r="E963" s="42"/>
    </row>
    <row r="964" ht="15.75" customHeight="1">
      <c r="D964" s="42"/>
      <c r="E964" s="42"/>
    </row>
    <row r="965" ht="15.75" customHeight="1">
      <c r="D965" s="42"/>
      <c r="E965" s="42"/>
    </row>
    <row r="966" ht="15.75" customHeight="1">
      <c r="D966" s="42"/>
      <c r="E966" s="42"/>
    </row>
    <row r="967" ht="15.75" customHeight="1">
      <c r="D967" s="42"/>
      <c r="E967" s="42"/>
    </row>
    <row r="968" ht="15.75" customHeight="1">
      <c r="D968" s="42"/>
      <c r="E968" s="42"/>
    </row>
    <row r="969" ht="15.75" customHeight="1">
      <c r="D969" s="42"/>
      <c r="E969" s="42"/>
    </row>
    <row r="970" ht="15.75" customHeight="1">
      <c r="D970" s="42"/>
      <c r="E970" s="42"/>
    </row>
    <row r="971" ht="15.75" customHeight="1">
      <c r="D971" s="42"/>
      <c r="E971" s="42"/>
    </row>
    <row r="972" ht="15.75" customHeight="1">
      <c r="D972" s="42"/>
      <c r="E972" s="42"/>
    </row>
    <row r="973" ht="15.75" customHeight="1">
      <c r="D973" s="42"/>
      <c r="E973" s="42"/>
    </row>
    <row r="974" ht="15.75" customHeight="1">
      <c r="D974" s="42"/>
      <c r="E974" s="42"/>
    </row>
    <row r="975" ht="15.75" customHeight="1">
      <c r="D975" s="42"/>
      <c r="E975" s="42"/>
    </row>
    <row r="976" ht="15.75" customHeight="1">
      <c r="D976" s="42"/>
      <c r="E976" s="42"/>
    </row>
    <row r="977" ht="15.75" customHeight="1">
      <c r="D977" s="42"/>
      <c r="E977" s="42"/>
    </row>
    <row r="978" ht="15.75" customHeight="1">
      <c r="D978" s="42"/>
      <c r="E978" s="42"/>
    </row>
    <row r="979" ht="15.75" customHeight="1">
      <c r="D979" s="42"/>
      <c r="E979" s="42"/>
    </row>
    <row r="980" ht="15.75" customHeight="1">
      <c r="D980" s="42"/>
      <c r="E980" s="42"/>
    </row>
    <row r="981" ht="15.75" customHeight="1">
      <c r="D981" s="42"/>
      <c r="E981" s="42"/>
    </row>
    <row r="982" ht="15.75" customHeight="1">
      <c r="D982" s="42"/>
      <c r="E982" s="42"/>
    </row>
    <row r="983" ht="15.75" customHeight="1">
      <c r="D983" s="42"/>
      <c r="E983" s="42"/>
    </row>
    <row r="984" ht="15.75" customHeight="1">
      <c r="D984" s="42"/>
      <c r="E984" s="42"/>
    </row>
    <row r="985" ht="15.75" customHeight="1">
      <c r="D985" s="42"/>
      <c r="E985" s="42"/>
    </row>
    <row r="986" ht="15.75" customHeight="1">
      <c r="D986" s="42"/>
      <c r="E986" s="42"/>
    </row>
    <row r="987" ht="15.75" customHeight="1">
      <c r="D987" s="42"/>
      <c r="E987" s="42"/>
    </row>
    <row r="988" ht="15.75" customHeight="1">
      <c r="D988" s="42"/>
      <c r="E988" s="42"/>
    </row>
    <row r="989" ht="15.75" customHeight="1">
      <c r="D989" s="42"/>
      <c r="E989" s="42"/>
    </row>
    <row r="990" ht="15.75" customHeight="1">
      <c r="D990" s="42"/>
      <c r="E990" s="42"/>
    </row>
    <row r="991" ht="15.75" customHeight="1">
      <c r="D991" s="42"/>
      <c r="E991" s="42"/>
    </row>
    <row r="992" ht="15.75" customHeight="1">
      <c r="D992" s="42"/>
      <c r="E992" s="42"/>
    </row>
    <row r="993" ht="15.75" customHeight="1">
      <c r="D993" s="42"/>
      <c r="E993" s="42"/>
    </row>
    <row r="994" ht="15.75" customHeight="1">
      <c r="D994" s="42"/>
      <c r="E994" s="42"/>
    </row>
    <row r="995" ht="15.75" customHeight="1">
      <c r="D995" s="42"/>
      <c r="E995" s="42"/>
    </row>
  </sheetData>
  <mergeCells count="12">
    <mergeCell ref="O6:R6"/>
    <mergeCell ref="S6:V6"/>
    <mergeCell ref="A23:C23"/>
    <mergeCell ref="A24:C24"/>
    <mergeCell ref="A1:AA2"/>
    <mergeCell ref="A3:AA4"/>
    <mergeCell ref="A5:AA5"/>
    <mergeCell ref="A6:A7"/>
    <mergeCell ref="E6:E7"/>
    <mergeCell ref="F6:I6"/>
    <mergeCell ref="J6:N6"/>
    <mergeCell ref="W6:AA6"/>
  </mergeCells>
  <printOptions/>
  <pageMargins bottom="0.2" footer="0.0" header="0.0" left="0.2" right="0.2" top="0.2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2.57"/>
    <col customWidth="1" min="3" max="3" width="9.86"/>
    <col customWidth="1" min="4" max="4" width="11.43"/>
    <col customWidth="1" min="5" max="5" width="12.29"/>
    <col customWidth="1" min="6" max="6" width="12.57"/>
    <col customWidth="1" hidden="1" min="7" max="7" width="11.71"/>
    <col customWidth="1" min="8" max="8" width="11.0"/>
    <col customWidth="1" min="9" max="9" width="10.0"/>
    <col customWidth="1" min="10" max="10" width="12.29"/>
    <col customWidth="1" hidden="1" min="11" max="11" width="12.29"/>
    <col customWidth="1" min="12" max="12" width="11.29"/>
    <col customWidth="1" hidden="1" min="13" max="13" width="9.43"/>
    <col customWidth="1" min="14" max="14" width="11.14"/>
    <col customWidth="1" min="15" max="15" width="12.0"/>
    <col customWidth="1" hidden="1" min="16" max="16" width="14.29"/>
    <col customWidth="1" min="17" max="17" width="10.71"/>
    <col customWidth="1" min="18" max="18" width="9.43"/>
    <col customWidth="1" min="19" max="19" width="13.29"/>
    <col customWidth="1" hidden="1" min="20" max="20" width="13.43"/>
    <col customWidth="1" min="21" max="21" width="10.29"/>
    <col customWidth="1" min="22" max="22" width="9.71"/>
    <col customWidth="1" min="23" max="23" width="15.0"/>
    <col customWidth="1" hidden="1" min="24" max="24" width="2.29"/>
    <col customWidth="1" min="25" max="25" width="12.29"/>
    <col customWidth="1" min="26" max="26" width="0.14"/>
    <col customWidth="1" min="27" max="27" width="9.71"/>
    <col customWidth="1" min="28" max="28" width="11.57"/>
  </cols>
  <sheetData>
    <row r="1">
      <c r="A1" s="1" t="s">
        <v>0</v>
      </c>
    </row>
    <row r="3">
      <c r="A3" s="2" t="s">
        <v>41</v>
      </c>
    </row>
    <row r="5">
      <c r="A5" s="3" t="s">
        <v>42</v>
      </c>
    </row>
    <row r="6">
      <c r="A6" s="4" t="s">
        <v>3</v>
      </c>
      <c r="B6" s="5" t="s">
        <v>4</v>
      </c>
      <c r="C6" s="5" t="s">
        <v>5</v>
      </c>
      <c r="D6" s="5" t="s">
        <v>6</v>
      </c>
      <c r="E6" s="4" t="s">
        <v>7</v>
      </c>
      <c r="F6" s="6" t="s">
        <v>8</v>
      </c>
      <c r="G6" s="7"/>
      <c r="H6" s="7"/>
      <c r="I6" s="8"/>
      <c r="J6" s="6" t="s">
        <v>9</v>
      </c>
      <c r="K6" s="7"/>
      <c r="L6" s="7"/>
      <c r="M6" s="7"/>
      <c r="N6" s="8"/>
      <c r="O6" s="6" t="s">
        <v>10</v>
      </c>
      <c r="P6" s="7"/>
      <c r="Q6" s="7"/>
      <c r="R6" s="8"/>
      <c r="S6" s="6" t="s">
        <v>11</v>
      </c>
      <c r="T6" s="7"/>
      <c r="U6" s="7"/>
      <c r="V6" s="8"/>
      <c r="W6" s="6" t="s">
        <v>12</v>
      </c>
      <c r="X6" s="7"/>
      <c r="Y6" s="7"/>
      <c r="Z6" s="7"/>
      <c r="AA6" s="8"/>
    </row>
    <row r="7">
      <c r="A7" s="9"/>
      <c r="B7" s="10"/>
      <c r="C7" s="10"/>
      <c r="D7" s="10"/>
      <c r="E7" s="11"/>
      <c r="F7" s="12" t="s">
        <v>13</v>
      </c>
      <c r="G7" s="12"/>
      <c r="H7" s="12" t="s">
        <v>14</v>
      </c>
      <c r="I7" s="12" t="s">
        <v>15</v>
      </c>
      <c r="J7" s="12" t="s">
        <v>13</v>
      </c>
      <c r="K7" s="12"/>
      <c r="L7" s="12" t="s">
        <v>14</v>
      </c>
      <c r="M7" s="12"/>
      <c r="N7" s="12" t="s">
        <v>15</v>
      </c>
      <c r="O7" s="12" t="s">
        <v>13</v>
      </c>
      <c r="P7" s="12"/>
      <c r="Q7" s="12" t="s">
        <v>14</v>
      </c>
      <c r="R7" s="12" t="s">
        <v>15</v>
      </c>
      <c r="S7" s="12" t="s">
        <v>13</v>
      </c>
      <c r="T7" s="12"/>
      <c r="U7" s="12" t="s">
        <v>14</v>
      </c>
      <c r="V7" s="12" t="s">
        <v>15</v>
      </c>
      <c r="W7" s="12" t="s">
        <v>13</v>
      </c>
      <c r="X7" s="12"/>
      <c r="Y7" s="12" t="s">
        <v>14</v>
      </c>
      <c r="Z7" s="12"/>
      <c r="AA7" s="12" t="s">
        <v>15</v>
      </c>
    </row>
    <row r="8">
      <c r="A8" s="13">
        <v>1.0</v>
      </c>
      <c r="B8" s="14" t="s">
        <v>16</v>
      </c>
      <c r="C8" s="13" t="s">
        <v>17</v>
      </c>
      <c r="D8" s="13">
        <v>70.79</v>
      </c>
      <c r="E8" s="15">
        <v>500.0</v>
      </c>
      <c r="F8" s="16">
        <f t="shared" ref="F8:F22" si="1">W8/2</f>
        <v>646</v>
      </c>
      <c r="G8" s="17">
        <f t="shared" ref="G8:G23" si="2">F8*D8</f>
        <v>45730.34</v>
      </c>
      <c r="H8" s="18"/>
      <c r="I8" s="19"/>
      <c r="J8" s="19">
        <v>646.0</v>
      </c>
      <c r="K8" s="19">
        <f t="shared" ref="K8:K22" si="3">J8*D8</f>
        <v>45730.34</v>
      </c>
      <c r="L8" s="19">
        <v>0.0</v>
      </c>
      <c r="M8" s="20">
        <f t="shared" ref="M8:M22" si="4">L8*D8</f>
        <v>0</v>
      </c>
      <c r="N8" s="21">
        <f t="shared" ref="N8:N24" si="5">L8/J8</f>
        <v>0</v>
      </c>
      <c r="O8" s="19">
        <f t="shared" ref="O8:O22" si="6">W8/2</f>
        <v>646</v>
      </c>
      <c r="P8" s="22">
        <f t="shared" ref="P8:P23" si="7">O8*D8</f>
        <v>45730.34</v>
      </c>
      <c r="Q8" s="18"/>
      <c r="R8" s="18"/>
      <c r="S8" s="18">
        <v>646.0</v>
      </c>
      <c r="T8" s="18">
        <f t="shared" ref="T8:T22" si="8">S8*D8</f>
        <v>45730.34</v>
      </c>
      <c r="U8" s="18"/>
      <c r="V8" s="18"/>
      <c r="W8" s="16">
        <v>1292.0</v>
      </c>
      <c r="X8" s="23">
        <f t="shared" ref="X8:X23" si="9">W8*D8</f>
        <v>91460.68</v>
      </c>
      <c r="Y8" s="18">
        <v>10.0</v>
      </c>
      <c r="Z8" s="19">
        <f t="shared" ref="Z8:Z22" si="10">Y8*D8</f>
        <v>707.9</v>
      </c>
      <c r="AA8" s="24">
        <f t="shared" ref="AA8:AA24" si="11">Y8/W8</f>
        <v>0.00773993808</v>
      </c>
      <c r="AB8" s="25"/>
    </row>
    <row r="9">
      <c r="A9" s="26">
        <v>2.0</v>
      </c>
      <c r="B9" s="27" t="s">
        <v>18</v>
      </c>
      <c r="C9" s="26" t="s">
        <v>17</v>
      </c>
      <c r="D9" s="26">
        <v>89.37</v>
      </c>
      <c r="E9" s="28">
        <v>500.0</v>
      </c>
      <c r="F9" s="29">
        <f t="shared" si="1"/>
        <v>646</v>
      </c>
      <c r="G9" s="23">
        <f t="shared" si="2"/>
        <v>57733.02</v>
      </c>
      <c r="H9" s="30"/>
      <c r="I9" s="31"/>
      <c r="J9" s="31">
        <v>646.0</v>
      </c>
      <c r="K9" s="19">
        <f t="shared" si="3"/>
        <v>57733.02</v>
      </c>
      <c r="L9" s="31">
        <v>0.0</v>
      </c>
      <c r="M9" s="20">
        <f t="shared" si="4"/>
        <v>0</v>
      </c>
      <c r="N9" s="32">
        <f t="shared" si="5"/>
        <v>0</v>
      </c>
      <c r="O9" s="31">
        <f t="shared" si="6"/>
        <v>646</v>
      </c>
      <c r="P9" s="22">
        <f t="shared" si="7"/>
        <v>57733.02</v>
      </c>
      <c r="Q9" s="30"/>
      <c r="R9" s="30"/>
      <c r="S9" s="30">
        <v>646.0</v>
      </c>
      <c r="T9" s="18">
        <f t="shared" si="8"/>
        <v>57733.02</v>
      </c>
      <c r="U9" s="30"/>
      <c r="V9" s="30"/>
      <c r="W9" s="29">
        <v>1292.0</v>
      </c>
      <c r="X9" s="23">
        <f t="shared" si="9"/>
        <v>115466.04</v>
      </c>
      <c r="Y9" s="30">
        <v>32.0</v>
      </c>
      <c r="Z9" s="19">
        <f t="shared" si="10"/>
        <v>2859.84</v>
      </c>
      <c r="AA9" s="24">
        <f t="shared" si="11"/>
        <v>0.02476780186</v>
      </c>
      <c r="AB9" s="25"/>
    </row>
    <row r="10">
      <c r="A10" s="26">
        <v>3.0</v>
      </c>
      <c r="B10" s="27" t="s">
        <v>19</v>
      </c>
      <c r="C10" s="26" t="s">
        <v>17</v>
      </c>
      <c r="D10" s="26">
        <v>112.5</v>
      </c>
      <c r="E10" s="28">
        <v>800.0</v>
      </c>
      <c r="F10" s="29">
        <f t="shared" si="1"/>
        <v>1033.5</v>
      </c>
      <c r="G10" s="23">
        <f t="shared" si="2"/>
        <v>116268.75</v>
      </c>
      <c r="H10" s="30"/>
      <c r="I10" s="31"/>
      <c r="J10" s="31">
        <v>1033.5</v>
      </c>
      <c r="K10" s="19">
        <f t="shared" si="3"/>
        <v>116268.75</v>
      </c>
      <c r="L10" s="31">
        <v>587.0</v>
      </c>
      <c r="M10" s="20">
        <f t="shared" si="4"/>
        <v>66037.5</v>
      </c>
      <c r="N10" s="32">
        <f t="shared" si="5"/>
        <v>0.5679729076</v>
      </c>
      <c r="O10" s="31">
        <f t="shared" si="6"/>
        <v>1033.5</v>
      </c>
      <c r="P10" s="22">
        <f t="shared" si="7"/>
        <v>116268.75</v>
      </c>
      <c r="Q10" s="30"/>
      <c r="R10" s="30"/>
      <c r="S10" s="30">
        <v>1033.5</v>
      </c>
      <c r="T10" s="18">
        <f t="shared" si="8"/>
        <v>116268.75</v>
      </c>
      <c r="U10" s="30"/>
      <c r="V10" s="30"/>
      <c r="W10" s="29">
        <v>2067.0</v>
      </c>
      <c r="X10" s="23">
        <f t="shared" si="9"/>
        <v>232537.5</v>
      </c>
      <c r="Y10" s="30">
        <v>1953.0</v>
      </c>
      <c r="Z10" s="19">
        <f t="shared" si="10"/>
        <v>219712.5</v>
      </c>
      <c r="AA10" s="24">
        <f t="shared" si="11"/>
        <v>0.9448476052</v>
      </c>
      <c r="AB10" s="25"/>
    </row>
    <row r="11">
      <c r="A11" s="26">
        <v>4.0</v>
      </c>
      <c r="B11" s="27" t="s">
        <v>20</v>
      </c>
      <c r="C11" s="26" t="s">
        <v>21</v>
      </c>
      <c r="D11" s="26">
        <v>55.23</v>
      </c>
      <c r="E11" s="28">
        <v>200.0</v>
      </c>
      <c r="F11" s="29">
        <f t="shared" si="1"/>
        <v>258.5</v>
      </c>
      <c r="G11" s="23">
        <f t="shared" si="2"/>
        <v>14276.955</v>
      </c>
      <c r="H11" s="30"/>
      <c r="I11" s="31"/>
      <c r="J11" s="31">
        <v>258.5</v>
      </c>
      <c r="K11" s="19">
        <f t="shared" si="3"/>
        <v>14276.955</v>
      </c>
      <c r="L11" s="31">
        <v>0.0</v>
      </c>
      <c r="M11" s="20">
        <f t="shared" si="4"/>
        <v>0</v>
      </c>
      <c r="N11" s="32">
        <f t="shared" si="5"/>
        <v>0</v>
      </c>
      <c r="O11" s="31">
        <f t="shared" si="6"/>
        <v>258.5</v>
      </c>
      <c r="P11" s="22">
        <f t="shared" si="7"/>
        <v>14276.955</v>
      </c>
      <c r="Q11" s="30"/>
      <c r="R11" s="30"/>
      <c r="S11" s="30">
        <v>258.5</v>
      </c>
      <c r="T11" s="18">
        <f t="shared" si="8"/>
        <v>14276.955</v>
      </c>
      <c r="U11" s="30"/>
      <c r="V11" s="30"/>
      <c r="W11" s="29">
        <v>517.0</v>
      </c>
      <c r="X11" s="23">
        <f t="shared" si="9"/>
        <v>28553.91</v>
      </c>
      <c r="Y11" s="30">
        <v>0.0</v>
      </c>
      <c r="Z11" s="19">
        <f t="shared" si="10"/>
        <v>0</v>
      </c>
      <c r="AA11" s="24">
        <f t="shared" si="11"/>
        <v>0</v>
      </c>
      <c r="AB11" s="25"/>
    </row>
    <row r="12">
      <c r="A12" s="26">
        <v>5.0</v>
      </c>
      <c r="B12" s="27" t="s">
        <v>22</v>
      </c>
      <c r="C12" s="26" t="s">
        <v>23</v>
      </c>
      <c r="D12" s="26">
        <v>192.63</v>
      </c>
      <c r="E12" s="28">
        <v>192.0</v>
      </c>
      <c r="F12" s="29">
        <f t="shared" si="1"/>
        <v>248</v>
      </c>
      <c r="G12" s="23">
        <f t="shared" si="2"/>
        <v>47772.24</v>
      </c>
      <c r="H12" s="30"/>
      <c r="I12" s="31"/>
      <c r="J12" s="31">
        <v>248.0</v>
      </c>
      <c r="K12" s="19">
        <f t="shared" si="3"/>
        <v>47772.24</v>
      </c>
      <c r="L12" s="31">
        <v>4.0</v>
      </c>
      <c r="M12" s="20">
        <f t="shared" si="4"/>
        <v>770.52</v>
      </c>
      <c r="N12" s="32">
        <f t="shared" si="5"/>
        <v>0.01612903226</v>
      </c>
      <c r="O12" s="31">
        <f t="shared" si="6"/>
        <v>248</v>
      </c>
      <c r="P12" s="22">
        <f t="shared" si="7"/>
        <v>47772.24</v>
      </c>
      <c r="Q12" s="30"/>
      <c r="R12" s="30"/>
      <c r="S12" s="30">
        <v>248.0</v>
      </c>
      <c r="T12" s="18">
        <f t="shared" si="8"/>
        <v>47772.24</v>
      </c>
      <c r="U12" s="30"/>
      <c r="V12" s="30"/>
      <c r="W12" s="29">
        <v>496.0</v>
      </c>
      <c r="X12" s="23">
        <f t="shared" si="9"/>
        <v>95544.48</v>
      </c>
      <c r="Y12" s="30">
        <v>4.0</v>
      </c>
      <c r="Z12" s="19">
        <f t="shared" si="10"/>
        <v>770.52</v>
      </c>
      <c r="AA12" s="24">
        <f t="shared" si="11"/>
        <v>0.008064516129</v>
      </c>
      <c r="AB12" s="25"/>
    </row>
    <row r="13">
      <c r="A13" s="26">
        <v>6.0</v>
      </c>
      <c r="B13" s="27" t="s">
        <v>24</v>
      </c>
      <c r="C13" s="26" t="s">
        <v>23</v>
      </c>
      <c r="D13" s="26">
        <v>195.0</v>
      </c>
      <c r="E13" s="28">
        <v>30.0</v>
      </c>
      <c r="F13" s="29">
        <f t="shared" si="1"/>
        <v>39</v>
      </c>
      <c r="G13" s="23">
        <f t="shared" si="2"/>
        <v>7605</v>
      </c>
      <c r="H13" s="30"/>
      <c r="I13" s="31"/>
      <c r="J13" s="31">
        <v>39.0</v>
      </c>
      <c r="K13" s="19">
        <f t="shared" si="3"/>
        <v>7605</v>
      </c>
      <c r="L13" s="31">
        <v>0.0</v>
      </c>
      <c r="M13" s="20">
        <f t="shared" si="4"/>
        <v>0</v>
      </c>
      <c r="N13" s="32">
        <f t="shared" si="5"/>
        <v>0</v>
      </c>
      <c r="O13" s="31">
        <f t="shared" si="6"/>
        <v>39</v>
      </c>
      <c r="P13" s="22">
        <f t="shared" si="7"/>
        <v>7605</v>
      </c>
      <c r="Q13" s="30"/>
      <c r="R13" s="30"/>
      <c r="S13" s="30">
        <v>39.0</v>
      </c>
      <c r="T13" s="18">
        <f t="shared" si="8"/>
        <v>7605</v>
      </c>
      <c r="U13" s="30"/>
      <c r="V13" s="30"/>
      <c r="W13" s="29">
        <v>78.0</v>
      </c>
      <c r="X13" s="23">
        <f t="shared" si="9"/>
        <v>15210</v>
      </c>
      <c r="Y13" s="30">
        <v>0.0</v>
      </c>
      <c r="Z13" s="19">
        <f t="shared" si="10"/>
        <v>0</v>
      </c>
      <c r="AA13" s="24">
        <f t="shared" si="11"/>
        <v>0</v>
      </c>
      <c r="AB13" s="25"/>
    </row>
    <row r="14">
      <c r="A14" s="26">
        <v>7.0</v>
      </c>
      <c r="B14" s="27" t="s">
        <v>25</v>
      </c>
      <c r="C14" s="26" t="s">
        <v>23</v>
      </c>
      <c r="D14" s="26">
        <v>648.52</v>
      </c>
      <c r="E14" s="28">
        <v>30.0</v>
      </c>
      <c r="F14" s="29">
        <f t="shared" si="1"/>
        <v>39</v>
      </c>
      <c r="G14" s="23">
        <f t="shared" si="2"/>
        <v>25292.28</v>
      </c>
      <c r="H14" s="30"/>
      <c r="I14" s="31"/>
      <c r="J14" s="31">
        <v>39.0</v>
      </c>
      <c r="K14" s="19">
        <f t="shared" si="3"/>
        <v>25292.28</v>
      </c>
      <c r="L14" s="31">
        <v>2.0</v>
      </c>
      <c r="M14" s="20">
        <f t="shared" si="4"/>
        <v>1297.04</v>
      </c>
      <c r="N14" s="32">
        <f t="shared" si="5"/>
        <v>0.05128205128</v>
      </c>
      <c r="O14" s="31">
        <f t="shared" si="6"/>
        <v>39</v>
      </c>
      <c r="P14" s="22">
        <f t="shared" si="7"/>
        <v>25292.28</v>
      </c>
      <c r="Q14" s="30"/>
      <c r="R14" s="30"/>
      <c r="S14" s="30">
        <v>39.0</v>
      </c>
      <c r="T14" s="18">
        <f t="shared" si="8"/>
        <v>25292.28</v>
      </c>
      <c r="U14" s="30"/>
      <c r="V14" s="30"/>
      <c r="W14" s="29">
        <v>78.0</v>
      </c>
      <c r="X14" s="23">
        <f t="shared" si="9"/>
        <v>50584.56</v>
      </c>
      <c r="Y14" s="30">
        <v>0.0</v>
      </c>
      <c r="Z14" s="19">
        <f t="shared" si="10"/>
        <v>0</v>
      </c>
      <c r="AA14" s="24">
        <f t="shared" si="11"/>
        <v>0</v>
      </c>
      <c r="AB14" s="25"/>
    </row>
    <row r="15">
      <c r="A15" s="26">
        <v>8.0</v>
      </c>
      <c r="B15" s="27" t="s">
        <v>26</v>
      </c>
      <c r="C15" s="26" t="s">
        <v>21</v>
      </c>
      <c r="D15" s="26">
        <v>51.0</v>
      </c>
      <c r="E15" s="28">
        <v>300.0</v>
      </c>
      <c r="F15" s="29">
        <f t="shared" si="1"/>
        <v>387.5</v>
      </c>
      <c r="G15" s="23">
        <f t="shared" si="2"/>
        <v>19762.5</v>
      </c>
      <c r="H15" s="30"/>
      <c r="I15" s="31"/>
      <c r="J15" s="31">
        <v>387.5</v>
      </c>
      <c r="K15" s="19">
        <f t="shared" si="3"/>
        <v>19762.5</v>
      </c>
      <c r="L15" s="31">
        <v>107.0</v>
      </c>
      <c r="M15" s="20">
        <f t="shared" si="4"/>
        <v>5457</v>
      </c>
      <c r="N15" s="32">
        <f t="shared" si="5"/>
        <v>0.2761290323</v>
      </c>
      <c r="O15" s="31">
        <f t="shared" si="6"/>
        <v>387.5</v>
      </c>
      <c r="P15" s="22">
        <f t="shared" si="7"/>
        <v>19762.5</v>
      </c>
      <c r="Q15" s="30"/>
      <c r="R15" s="30"/>
      <c r="S15" s="30">
        <v>387.5</v>
      </c>
      <c r="T15" s="18">
        <f t="shared" si="8"/>
        <v>19762.5</v>
      </c>
      <c r="U15" s="30"/>
      <c r="V15" s="30"/>
      <c r="W15" s="29">
        <v>775.0</v>
      </c>
      <c r="X15" s="23">
        <f t="shared" si="9"/>
        <v>39525</v>
      </c>
      <c r="Y15" s="30">
        <v>39.0</v>
      </c>
      <c r="Z15" s="19">
        <f t="shared" si="10"/>
        <v>1989</v>
      </c>
      <c r="AA15" s="24">
        <f t="shared" si="11"/>
        <v>0.05032258065</v>
      </c>
      <c r="AB15" s="25"/>
    </row>
    <row r="16">
      <c r="A16" s="26">
        <v>9.0</v>
      </c>
      <c r="B16" s="27" t="s">
        <v>27</v>
      </c>
      <c r="C16" s="26" t="s">
        <v>28</v>
      </c>
      <c r="D16" s="26">
        <v>189.25</v>
      </c>
      <c r="E16" s="28">
        <v>560.0</v>
      </c>
      <c r="F16" s="29">
        <f t="shared" si="1"/>
        <v>723.5</v>
      </c>
      <c r="G16" s="23">
        <f t="shared" si="2"/>
        <v>136922.375</v>
      </c>
      <c r="H16" s="30"/>
      <c r="I16" s="31"/>
      <c r="J16" s="31">
        <v>723.5</v>
      </c>
      <c r="K16" s="19">
        <f t="shared" si="3"/>
        <v>136922.375</v>
      </c>
      <c r="L16" s="31">
        <v>70.0</v>
      </c>
      <c r="M16" s="20">
        <f t="shared" si="4"/>
        <v>13247.5</v>
      </c>
      <c r="N16" s="32">
        <f t="shared" si="5"/>
        <v>0.09675190048</v>
      </c>
      <c r="O16" s="31">
        <f t="shared" si="6"/>
        <v>723.5</v>
      </c>
      <c r="P16" s="22">
        <f t="shared" si="7"/>
        <v>136922.375</v>
      </c>
      <c r="Q16" s="30"/>
      <c r="R16" s="30"/>
      <c r="S16" s="30">
        <v>723.5</v>
      </c>
      <c r="T16" s="18">
        <f t="shared" si="8"/>
        <v>136922.375</v>
      </c>
      <c r="U16" s="30"/>
      <c r="V16" s="30"/>
      <c r="W16" s="29">
        <v>1447.0</v>
      </c>
      <c r="X16" s="23">
        <f t="shared" si="9"/>
        <v>273844.75</v>
      </c>
      <c r="Y16" s="30">
        <v>57.0</v>
      </c>
      <c r="Z16" s="19">
        <f t="shared" si="10"/>
        <v>10787.25</v>
      </c>
      <c r="AA16" s="24">
        <f t="shared" si="11"/>
        <v>0.0393918452</v>
      </c>
      <c r="AB16" s="25"/>
    </row>
    <row r="17">
      <c r="A17" s="26">
        <v>10.0</v>
      </c>
      <c r="B17" s="27" t="s">
        <v>29</v>
      </c>
      <c r="C17" s="26" t="s">
        <v>30</v>
      </c>
      <c r="D17" s="26">
        <v>128.86</v>
      </c>
      <c r="E17" s="28">
        <v>550.0</v>
      </c>
      <c r="F17" s="29">
        <f t="shared" si="1"/>
        <v>710.5</v>
      </c>
      <c r="G17" s="23">
        <f t="shared" si="2"/>
        <v>91555.03</v>
      </c>
      <c r="H17" s="30"/>
      <c r="I17" s="31"/>
      <c r="J17" s="31">
        <v>710.5</v>
      </c>
      <c r="K17" s="19">
        <f t="shared" si="3"/>
        <v>91555.03</v>
      </c>
      <c r="L17" s="31">
        <v>0.0</v>
      </c>
      <c r="M17" s="20">
        <f t="shared" si="4"/>
        <v>0</v>
      </c>
      <c r="N17" s="32">
        <f t="shared" si="5"/>
        <v>0</v>
      </c>
      <c r="O17" s="31">
        <f t="shared" si="6"/>
        <v>710.5</v>
      </c>
      <c r="P17" s="22">
        <f t="shared" si="7"/>
        <v>91555.03</v>
      </c>
      <c r="Q17" s="30"/>
      <c r="R17" s="30"/>
      <c r="S17" s="30">
        <v>710.5</v>
      </c>
      <c r="T17" s="18">
        <f t="shared" si="8"/>
        <v>91555.03</v>
      </c>
      <c r="U17" s="30"/>
      <c r="V17" s="30"/>
      <c r="W17" s="29">
        <v>1421.0</v>
      </c>
      <c r="X17" s="23">
        <f t="shared" si="9"/>
        <v>183110.06</v>
      </c>
      <c r="Y17" s="30">
        <v>0.0</v>
      </c>
      <c r="Z17" s="19">
        <f t="shared" si="10"/>
        <v>0</v>
      </c>
      <c r="AA17" s="24">
        <f t="shared" si="11"/>
        <v>0</v>
      </c>
      <c r="AB17" s="25"/>
    </row>
    <row r="18">
      <c r="A18" s="26">
        <v>11.0</v>
      </c>
      <c r="B18" s="27" t="s">
        <v>31</v>
      </c>
      <c r="C18" s="26" t="s">
        <v>32</v>
      </c>
      <c r="D18" s="26">
        <v>94.9</v>
      </c>
      <c r="E18" s="28">
        <v>650.0</v>
      </c>
      <c r="F18" s="29">
        <f t="shared" si="1"/>
        <v>839.5</v>
      </c>
      <c r="G18" s="23">
        <f t="shared" si="2"/>
        <v>79668.55</v>
      </c>
      <c r="H18" s="30"/>
      <c r="I18" s="31"/>
      <c r="J18" s="31">
        <v>839.5</v>
      </c>
      <c r="K18" s="19">
        <f t="shared" si="3"/>
        <v>79668.55</v>
      </c>
      <c r="L18" s="31">
        <v>62.0</v>
      </c>
      <c r="M18" s="20">
        <f t="shared" si="4"/>
        <v>5883.8</v>
      </c>
      <c r="N18" s="32">
        <f t="shared" si="5"/>
        <v>0.07385348422</v>
      </c>
      <c r="O18" s="31">
        <f t="shared" si="6"/>
        <v>839.5</v>
      </c>
      <c r="P18" s="22">
        <f t="shared" si="7"/>
        <v>79668.55</v>
      </c>
      <c r="Q18" s="30"/>
      <c r="R18" s="30"/>
      <c r="S18" s="30">
        <v>839.5</v>
      </c>
      <c r="T18" s="18">
        <f t="shared" si="8"/>
        <v>79668.55</v>
      </c>
      <c r="U18" s="30"/>
      <c r="V18" s="30"/>
      <c r="W18" s="29">
        <v>1679.0</v>
      </c>
      <c r="X18" s="23">
        <f t="shared" si="9"/>
        <v>159337.1</v>
      </c>
      <c r="Y18" s="30">
        <v>23.0</v>
      </c>
      <c r="Z18" s="19">
        <f t="shared" si="10"/>
        <v>2182.7</v>
      </c>
      <c r="AA18" s="24">
        <f t="shared" si="11"/>
        <v>0.01369863014</v>
      </c>
      <c r="AB18" s="25"/>
    </row>
    <row r="19">
      <c r="A19" s="26">
        <v>12.0</v>
      </c>
      <c r="B19" s="27" t="s">
        <v>33</v>
      </c>
      <c r="C19" s="26" t="s">
        <v>34</v>
      </c>
      <c r="D19" s="26">
        <v>85.33</v>
      </c>
      <c r="E19" s="28">
        <v>550.0</v>
      </c>
      <c r="F19" s="29">
        <f t="shared" si="1"/>
        <v>710.5</v>
      </c>
      <c r="G19" s="23">
        <f t="shared" si="2"/>
        <v>60626.965</v>
      </c>
      <c r="H19" s="30"/>
      <c r="I19" s="31"/>
      <c r="J19" s="31">
        <v>710.5</v>
      </c>
      <c r="K19" s="19">
        <f t="shared" si="3"/>
        <v>60626.965</v>
      </c>
      <c r="L19" s="31">
        <v>153.0</v>
      </c>
      <c r="M19" s="20">
        <f t="shared" si="4"/>
        <v>13055.49</v>
      </c>
      <c r="N19" s="32">
        <f t="shared" si="5"/>
        <v>0.2153413089</v>
      </c>
      <c r="O19" s="31">
        <f t="shared" si="6"/>
        <v>710.5</v>
      </c>
      <c r="P19" s="22">
        <f t="shared" si="7"/>
        <v>60626.965</v>
      </c>
      <c r="Q19" s="30"/>
      <c r="R19" s="30"/>
      <c r="S19" s="30">
        <v>710.5</v>
      </c>
      <c r="T19" s="18">
        <f t="shared" si="8"/>
        <v>60626.965</v>
      </c>
      <c r="U19" s="30"/>
      <c r="V19" s="30"/>
      <c r="W19" s="29">
        <v>1421.0</v>
      </c>
      <c r="X19" s="23">
        <f t="shared" si="9"/>
        <v>121253.93</v>
      </c>
      <c r="Y19" s="30">
        <v>151.0</v>
      </c>
      <c r="Z19" s="19">
        <f t="shared" si="10"/>
        <v>12884.83</v>
      </c>
      <c r="AA19" s="24">
        <f t="shared" si="11"/>
        <v>0.1062631949</v>
      </c>
      <c r="AB19" s="25"/>
    </row>
    <row r="20">
      <c r="A20" s="26">
        <v>13.0</v>
      </c>
      <c r="B20" s="27" t="s">
        <v>35</v>
      </c>
      <c r="C20" s="26" t="s">
        <v>34</v>
      </c>
      <c r="D20" s="26">
        <v>64.65</v>
      </c>
      <c r="E20" s="28">
        <v>200.0</v>
      </c>
      <c r="F20" s="29">
        <f t="shared" si="1"/>
        <v>258.5</v>
      </c>
      <c r="G20" s="23">
        <f t="shared" si="2"/>
        <v>16712.025</v>
      </c>
      <c r="H20" s="30"/>
      <c r="I20" s="31"/>
      <c r="J20" s="31">
        <v>258.5</v>
      </c>
      <c r="K20" s="19">
        <f t="shared" si="3"/>
        <v>16712.025</v>
      </c>
      <c r="L20" s="31">
        <v>0.0</v>
      </c>
      <c r="M20" s="20">
        <f t="shared" si="4"/>
        <v>0</v>
      </c>
      <c r="N20" s="32">
        <f t="shared" si="5"/>
        <v>0</v>
      </c>
      <c r="O20" s="31">
        <f t="shared" si="6"/>
        <v>258.5</v>
      </c>
      <c r="P20" s="22">
        <f t="shared" si="7"/>
        <v>16712.025</v>
      </c>
      <c r="Q20" s="30"/>
      <c r="R20" s="30"/>
      <c r="S20" s="30">
        <v>258.5</v>
      </c>
      <c r="T20" s="18">
        <f t="shared" si="8"/>
        <v>16712.025</v>
      </c>
      <c r="U20" s="30"/>
      <c r="V20" s="30"/>
      <c r="W20" s="29">
        <v>517.0</v>
      </c>
      <c r="X20" s="23">
        <f t="shared" si="9"/>
        <v>33424.05</v>
      </c>
      <c r="Y20" s="30">
        <v>0.0</v>
      </c>
      <c r="Z20" s="19">
        <f t="shared" si="10"/>
        <v>0</v>
      </c>
      <c r="AA20" s="24">
        <f t="shared" si="11"/>
        <v>0</v>
      </c>
      <c r="AB20" s="25"/>
    </row>
    <row r="21" ht="15.75" customHeight="1">
      <c r="A21" s="26">
        <v>14.0</v>
      </c>
      <c r="B21" s="27" t="s">
        <v>36</v>
      </c>
      <c r="C21" s="26" t="s">
        <v>28</v>
      </c>
      <c r="D21" s="26">
        <v>99.39</v>
      </c>
      <c r="E21" s="28">
        <v>150.0</v>
      </c>
      <c r="F21" s="29">
        <f t="shared" si="1"/>
        <v>194</v>
      </c>
      <c r="G21" s="23">
        <f t="shared" si="2"/>
        <v>19281.66</v>
      </c>
      <c r="H21" s="30"/>
      <c r="I21" s="31"/>
      <c r="J21" s="31">
        <v>194.0</v>
      </c>
      <c r="K21" s="19">
        <f t="shared" si="3"/>
        <v>19281.66</v>
      </c>
      <c r="L21" s="31">
        <v>0.0</v>
      </c>
      <c r="M21" s="20">
        <f t="shared" si="4"/>
        <v>0</v>
      </c>
      <c r="N21" s="32">
        <f t="shared" si="5"/>
        <v>0</v>
      </c>
      <c r="O21" s="31">
        <f t="shared" si="6"/>
        <v>194</v>
      </c>
      <c r="P21" s="22">
        <f t="shared" si="7"/>
        <v>19281.66</v>
      </c>
      <c r="Q21" s="30"/>
      <c r="R21" s="30"/>
      <c r="S21" s="30">
        <v>194.0</v>
      </c>
      <c r="T21" s="18">
        <f t="shared" si="8"/>
        <v>19281.66</v>
      </c>
      <c r="U21" s="30"/>
      <c r="V21" s="30"/>
      <c r="W21" s="29">
        <v>388.0</v>
      </c>
      <c r="X21" s="23">
        <f t="shared" si="9"/>
        <v>38563.32</v>
      </c>
      <c r="Y21" s="30">
        <v>0.0</v>
      </c>
      <c r="Z21" s="19">
        <f t="shared" si="10"/>
        <v>0</v>
      </c>
      <c r="AA21" s="24">
        <f t="shared" si="11"/>
        <v>0</v>
      </c>
      <c r="AB21" s="25"/>
    </row>
    <row r="22" ht="15.75" customHeight="1">
      <c r="A22" s="33">
        <v>15.0</v>
      </c>
      <c r="B22" s="34" t="s">
        <v>37</v>
      </c>
      <c r="C22" s="33" t="s">
        <v>21</v>
      </c>
      <c r="D22" s="33">
        <v>89.64</v>
      </c>
      <c r="E22" s="35">
        <v>300.0</v>
      </c>
      <c r="F22" s="36">
        <f t="shared" si="1"/>
        <v>387.5</v>
      </c>
      <c r="G22" s="37">
        <f t="shared" si="2"/>
        <v>34735.5</v>
      </c>
      <c r="H22" s="38"/>
      <c r="I22" s="39"/>
      <c r="J22" s="39">
        <v>387.5</v>
      </c>
      <c r="K22" s="19">
        <f t="shared" si="3"/>
        <v>34735.5</v>
      </c>
      <c r="L22" s="39">
        <v>7.0</v>
      </c>
      <c r="M22" s="20">
        <f t="shared" si="4"/>
        <v>627.48</v>
      </c>
      <c r="N22" s="40">
        <f t="shared" si="5"/>
        <v>0.01806451613</v>
      </c>
      <c r="O22" s="39">
        <f t="shared" si="6"/>
        <v>387.5</v>
      </c>
      <c r="P22" s="22">
        <f t="shared" si="7"/>
        <v>34735.5</v>
      </c>
      <c r="Q22" s="38"/>
      <c r="R22" s="38"/>
      <c r="S22" s="38">
        <v>387.5</v>
      </c>
      <c r="T22" s="18">
        <f t="shared" si="8"/>
        <v>34735.5</v>
      </c>
      <c r="U22" s="38"/>
      <c r="V22" s="38"/>
      <c r="W22" s="36">
        <v>775.0</v>
      </c>
      <c r="X22" s="23">
        <f t="shared" si="9"/>
        <v>69471</v>
      </c>
      <c r="Y22" s="38">
        <v>7.0</v>
      </c>
      <c r="Z22" s="19">
        <f t="shared" si="10"/>
        <v>627.48</v>
      </c>
      <c r="AA22" s="24">
        <f t="shared" si="11"/>
        <v>0.009032258065</v>
      </c>
      <c r="AB22" s="25"/>
    </row>
    <row r="23" ht="15.75" customHeight="1">
      <c r="A23" s="41" t="s">
        <v>38</v>
      </c>
      <c r="B23" s="7"/>
      <c r="C23" s="8"/>
      <c r="D23" s="42"/>
      <c r="E23" s="43"/>
      <c r="F23" s="44">
        <f>SUM(F8:F22)</f>
        <v>7121.5</v>
      </c>
      <c r="G23" s="45">
        <f t="shared" si="2"/>
        <v>0</v>
      </c>
      <c r="H23" s="46"/>
      <c r="I23" s="46"/>
      <c r="J23" s="47">
        <f t="shared" ref="J23:M23" si="12">SUM(J8:J22)</f>
        <v>7121.5</v>
      </c>
      <c r="K23" s="47">
        <f t="shared" si="12"/>
        <v>773943.19</v>
      </c>
      <c r="L23" s="47">
        <f t="shared" si="12"/>
        <v>992</v>
      </c>
      <c r="M23" s="47">
        <f t="shared" si="12"/>
        <v>106376.33</v>
      </c>
      <c r="N23" s="48">
        <f t="shared" si="5"/>
        <v>0.1392964965</v>
      </c>
      <c r="O23" s="49">
        <f>SUM(O8:O22)</f>
        <v>7121.5</v>
      </c>
      <c r="P23" s="50">
        <f t="shared" si="7"/>
        <v>0</v>
      </c>
      <c r="Q23" s="46"/>
      <c r="R23" s="46"/>
      <c r="S23" s="47">
        <f t="shared" ref="S23:T23" si="13">SUM(S8:S22)</f>
        <v>7121.5</v>
      </c>
      <c r="T23" s="47">
        <f t="shared" si="13"/>
        <v>773943.19</v>
      </c>
      <c r="U23" s="47"/>
      <c r="V23" s="47"/>
      <c r="W23" s="51">
        <f>SUM(W8:W22)</f>
        <v>14243</v>
      </c>
      <c r="X23" s="52">
        <f t="shared" si="9"/>
        <v>0</v>
      </c>
      <c r="Y23" s="46">
        <f>SUM(Y8:Y22)</f>
        <v>2276</v>
      </c>
      <c r="Z23" s="19">
        <f>Z22+Z21+Z20+Z19+Z18+Z17+Z16+Z15+Z14+Z13+Z12+Z11+Z10+Z9+Z8</f>
        <v>252522.02</v>
      </c>
      <c r="AA23" s="24">
        <f t="shared" si="11"/>
        <v>0.1597977954</v>
      </c>
    </row>
    <row r="24" ht="15.75" customHeight="1">
      <c r="A24" s="41" t="s">
        <v>39</v>
      </c>
      <c r="B24" s="7"/>
      <c r="C24" s="8"/>
      <c r="D24" s="53"/>
      <c r="E24" s="54">
        <f>SUM(E8:E23)</f>
        <v>5512</v>
      </c>
      <c r="F24" s="55">
        <f>G24</f>
        <v>773943.19</v>
      </c>
      <c r="G24" s="55">
        <f>SUM(G8:G23)</f>
        <v>773943.19</v>
      </c>
      <c r="H24" s="55"/>
      <c r="I24" s="55"/>
      <c r="J24" s="55">
        <f>K23</f>
        <v>773943.19</v>
      </c>
      <c r="K24" s="55"/>
      <c r="L24" s="55">
        <f>M23</f>
        <v>106376.33</v>
      </c>
      <c r="M24" s="55"/>
      <c r="N24" s="56">
        <f t="shared" si="5"/>
        <v>0.1374472072</v>
      </c>
      <c r="O24" s="55">
        <f>P24</f>
        <v>773943.19</v>
      </c>
      <c r="P24" s="55">
        <f>SUM(P8:P23)</f>
        <v>773943.19</v>
      </c>
      <c r="Q24" s="55"/>
      <c r="R24" s="55"/>
      <c r="S24" s="55">
        <f>T23</f>
        <v>773943.19</v>
      </c>
      <c r="T24" s="55"/>
      <c r="U24" s="55"/>
      <c r="V24" s="55"/>
      <c r="W24" s="55">
        <f>X24</f>
        <v>1547886.38</v>
      </c>
      <c r="X24" s="55">
        <f>SUM(X8:X23)</f>
        <v>1547886.38</v>
      </c>
      <c r="Y24" s="55">
        <f>Z23</f>
        <v>252522.02</v>
      </c>
      <c r="Z24" s="55"/>
      <c r="AA24" s="61">
        <f t="shared" si="11"/>
        <v>0.163139894</v>
      </c>
      <c r="AB24" s="58"/>
    </row>
    <row r="25" ht="15.75" customHeight="1">
      <c r="B25" s="62"/>
      <c r="C25" s="62"/>
      <c r="D25" s="62"/>
      <c r="E25" s="62"/>
      <c r="F25" s="63"/>
      <c r="G25" s="62"/>
      <c r="H25" s="62"/>
      <c r="I25" s="62"/>
      <c r="J25" s="62"/>
      <c r="K25" s="62"/>
      <c r="L25" s="62"/>
      <c r="M25" s="62"/>
      <c r="N25" s="62"/>
      <c r="O25" s="64"/>
    </row>
    <row r="26" ht="15.75" customHeight="1">
      <c r="B26" s="65"/>
      <c r="D26" s="42"/>
      <c r="E26" s="42"/>
    </row>
    <row r="27" ht="15.75" customHeight="1">
      <c r="D27" s="42"/>
      <c r="E27" s="42"/>
    </row>
    <row r="28" ht="15.75" customHeight="1">
      <c r="D28" s="42"/>
      <c r="E28" s="42"/>
    </row>
    <row r="29" ht="15.75" customHeight="1">
      <c r="D29" s="42"/>
      <c r="E29" s="42"/>
    </row>
    <row r="30" ht="15.75" customHeight="1">
      <c r="D30" s="42"/>
      <c r="E30" s="42"/>
    </row>
    <row r="31" ht="15.75" customHeight="1">
      <c r="D31" s="42"/>
      <c r="E31" s="42"/>
    </row>
    <row r="32" ht="15.75" customHeight="1">
      <c r="D32" s="42"/>
      <c r="E32" s="42"/>
    </row>
    <row r="33" ht="15.75" customHeight="1">
      <c r="D33" s="42"/>
      <c r="E33" s="42"/>
    </row>
    <row r="34" ht="15.75" customHeight="1">
      <c r="D34" s="42"/>
      <c r="E34" s="42"/>
    </row>
    <row r="35" ht="15.75" customHeight="1">
      <c r="D35" s="42"/>
      <c r="E35" s="42"/>
    </row>
    <row r="36" ht="15.75" customHeight="1">
      <c r="D36" s="42"/>
      <c r="E36" s="42"/>
    </row>
    <row r="37" ht="15.75" customHeight="1">
      <c r="D37" s="42"/>
      <c r="E37" s="42"/>
    </row>
    <row r="38" ht="15.75" customHeight="1">
      <c r="D38" s="42"/>
      <c r="E38" s="42"/>
    </row>
    <row r="39" ht="15.75" customHeight="1">
      <c r="D39" s="42"/>
      <c r="E39" s="42"/>
    </row>
    <row r="40" ht="15.75" customHeight="1">
      <c r="D40" s="42"/>
      <c r="E40" s="42"/>
    </row>
    <row r="41" ht="15.75" customHeight="1">
      <c r="D41" s="42"/>
      <c r="E41" s="42"/>
    </row>
    <row r="42" ht="15.75" customHeight="1">
      <c r="D42" s="42"/>
      <c r="E42" s="42"/>
    </row>
    <row r="43" ht="15.75" customHeight="1">
      <c r="D43" s="42"/>
      <c r="E43" s="42"/>
    </row>
    <row r="44" ht="15.75" customHeight="1">
      <c r="D44" s="42"/>
      <c r="E44" s="42"/>
    </row>
    <row r="45" ht="15.75" customHeight="1">
      <c r="D45" s="42"/>
      <c r="E45" s="42"/>
    </row>
    <row r="46" ht="15.75" customHeight="1">
      <c r="D46" s="42"/>
      <c r="E46" s="42"/>
    </row>
    <row r="47" ht="15.75" customHeight="1">
      <c r="D47" s="42"/>
      <c r="E47" s="42"/>
    </row>
    <row r="48" ht="15.75" customHeight="1">
      <c r="D48" s="42"/>
      <c r="E48" s="42"/>
    </row>
    <row r="49" ht="15.75" customHeight="1">
      <c r="D49" s="42"/>
      <c r="E49" s="42"/>
    </row>
    <row r="50" ht="15.75" customHeight="1">
      <c r="D50" s="42"/>
      <c r="E50" s="42"/>
    </row>
    <row r="51" ht="15.75" customHeight="1">
      <c r="D51" s="42"/>
      <c r="E51" s="42"/>
    </row>
    <row r="52" ht="15.75" customHeight="1">
      <c r="D52" s="42"/>
      <c r="E52" s="42"/>
    </row>
    <row r="53" ht="15.75" customHeight="1">
      <c r="D53" s="42"/>
      <c r="E53" s="42"/>
    </row>
    <row r="54" ht="15.75" customHeight="1">
      <c r="D54" s="42"/>
      <c r="E54" s="42"/>
    </row>
    <row r="55" ht="15.75" customHeight="1">
      <c r="D55" s="42"/>
      <c r="E55" s="42"/>
    </row>
    <row r="56" ht="15.75" customHeight="1">
      <c r="D56" s="42"/>
      <c r="E56" s="42"/>
    </row>
    <row r="57" ht="15.75" customHeight="1">
      <c r="D57" s="42"/>
      <c r="E57" s="42"/>
    </row>
    <row r="58" ht="15.75" customHeight="1">
      <c r="D58" s="42"/>
      <c r="E58" s="42"/>
    </row>
    <row r="59" ht="15.75" customHeight="1">
      <c r="D59" s="42"/>
      <c r="E59" s="42"/>
    </row>
    <row r="60" ht="15.75" customHeight="1">
      <c r="D60" s="42"/>
      <c r="E60" s="42"/>
    </row>
    <row r="61" ht="15.75" customHeight="1">
      <c r="D61" s="42"/>
      <c r="E61" s="42"/>
    </row>
    <row r="62" ht="15.75" customHeight="1">
      <c r="D62" s="42"/>
      <c r="E62" s="42"/>
    </row>
    <row r="63" ht="15.75" customHeight="1">
      <c r="D63" s="42"/>
      <c r="E63" s="42"/>
    </row>
    <row r="64" ht="15.75" customHeight="1">
      <c r="D64" s="42"/>
      <c r="E64" s="42"/>
    </row>
    <row r="65" ht="15.75" customHeight="1">
      <c r="D65" s="42"/>
      <c r="E65" s="42"/>
    </row>
    <row r="66" ht="15.75" customHeight="1">
      <c r="D66" s="42"/>
      <c r="E66" s="42"/>
    </row>
    <row r="67" ht="15.75" customHeight="1">
      <c r="D67" s="42"/>
      <c r="E67" s="42"/>
    </row>
    <row r="68" ht="15.75" customHeight="1">
      <c r="D68" s="42"/>
      <c r="E68" s="42"/>
    </row>
    <row r="69" ht="15.75" customHeight="1">
      <c r="D69" s="42"/>
      <c r="E69" s="42"/>
    </row>
    <row r="70" ht="15.75" customHeight="1">
      <c r="D70" s="42"/>
      <c r="E70" s="42"/>
    </row>
    <row r="71" ht="15.75" customHeight="1">
      <c r="D71" s="42"/>
      <c r="E71" s="42"/>
    </row>
    <row r="72" ht="15.75" customHeight="1">
      <c r="D72" s="42"/>
      <c r="E72" s="42"/>
    </row>
    <row r="73" ht="15.75" customHeight="1">
      <c r="D73" s="42"/>
      <c r="E73" s="42"/>
    </row>
    <row r="74" ht="15.75" customHeight="1">
      <c r="D74" s="42"/>
      <c r="E74" s="42"/>
    </row>
    <row r="75" ht="15.75" customHeight="1">
      <c r="D75" s="42"/>
      <c r="E75" s="42"/>
    </row>
    <row r="76" ht="15.75" customHeight="1">
      <c r="D76" s="42"/>
      <c r="E76" s="42"/>
    </row>
    <row r="77" ht="15.75" customHeight="1">
      <c r="D77" s="42"/>
      <c r="E77" s="42"/>
    </row>
    <row r="78" ht="15.75" customHeight="1">
      <c r="D78" s="42"/>
      <c r="E78" s="42"/>
    </row>
    <row r="79" ht="15.75" customHeight="1">
      <c r="D79" s="42"/>
      <c r="E79" s="42"/>
    </row>
    <row r="80" ht="15.75" customHeight="1">
      <c r="D80" s="42"/>
      <c r="E80" s="42"/>
    </row>
    <row r="81" ht="15.75" customHeight="1">
      <c r="D81" s="42"/>
      <c r="E81" s="42"/>
    </row>
    <row r="82" ht="15.75" customHeight="1">
      <c r="D82" s="42"/>
      <c r="E82" s="42"/>
    </row>
    <row r="83" ht="15.75" customHeight="1">
      <c r="D83" s="42"/>
      <c r="E83" s="42"/>
    </row>
    <row r="84" ht="15.75" customHeight="1">
      <c r="D84" s="42"/>
      <c r="E84" s="42"/>
    </row>
    <row r="85" ht="15.75" customHeight="1">
      <c r="D85" s="42"/>
      <c r="E85" s="42"/>
    </row>
    <row r="86" ht="15.75" customHeight="1">
      <c r="D86" s="42"/>
      <c r="E86" s="42"/>
    </row>
    <row r="87" ht="15.75" customHeight="1">
      <c r="D87" s="42"/>
      <c r="E87" s="42"/>
    </row>
    <row r="88" ht="15.75" customHeight="1">
      <c r="D88" s="42"/>
      <c r="E88" s="42"/>
    </row>
    <row r="89" ht="15.75" customHeight="1">
      <c r="D89" s="42"/>
      <c r="E89" s="42"/>
    </row>
    <row r="90" ht="15.75" customHeight="1">
      <c r="D90" s="42"/>
      <c r="E90" s="42"/>
    </row>
    <row r="91" ht="15.75" customHeight="1">
      <c r="D91" s="42"/>
      <c r="E91" s="42"/>
    </row>
    <row r="92" ht="15.75" customHeight="1">
      <c r="D92" s="42"/>
      <c r="E92" s="42"/>
    </row>
    <row r="93" ht="15.75" customHeight="1">
      <c r="D93" s="42"/>
      <c r="E93" s="42"/>
    </row>
    <row r="94" ht="15.75" customHeight="1">
      <c r="D94" s="42"/>
      <c r="E94" s="42"/>
    </row>
    <row r="95" ht="15.75" customHeight="1">
      <c r="D95" s="42"/>
      <c r="E95" s="42"/>
    </row>
    <row r="96" ht="15.75" customHeight="1">
      <c r="D96" s="42"/>
      <c r="E96" s="42"/>
    </row>
    <row r="97" ht="15.75" customHeight="1">
      <c r="D97" s="42"/>
      <c r="E97" s="42"/>
    </row>
    <row r="98" ht="15.75" customHeight="1">
      <c r="D98" s="42"/>
      <c r="E98" s="42"/>
    </row>
    <row r="99" ht="15.75" customHeight="1">
      <c r="D99" s="42"/>
      <c r="E99" s="42"/>
    </row>
    <row r="100" ht="15.75" customHeight="1">
      <c r="D100" s="42"/>
      <c r="E100" s="42"/>
    </row>
    <row r="101" ht="15.75" customHeight="1">
      <c r="D101" s="42"/>
      <c r="E101" s="42"/>
    </row>
    <row r="102" ht="15.75" customHeight="1">
      <c r="D102" s="42"/>
      <c r="E102" s="42"/>
    </row>
    <row r="103" ht="15.75" customHeight="1">
      <c r="D103" s="42"/>
      <c r="E103" s="42"/>
    </row>
    <row r="104" ht="15.75" customHeight="1">
      <c r="D104" s="42"/>
      <c r="E104" s="42"/>
    </row>
    <row r="105" ht="15.75" customHeight="1">
      <c r="D105" s="42"/>
      <c r="E105" s="42"/>
    </row>
    <row r="106" ht="15.75" customHeight="1">
      <c r="D106" s="42"/>
      <c r="E106" s="42"/>
    </row>
    <row r="107" ht="15.75" customHeight="1">
      <c r="D107" s="42"/>
      <c r="E107" s="42"/>
    </row>
    <row r="108" ht="15.75" customHeight="1">
      <c r="D108" s="42"/>
      <c r="E108" s="42"/>
    </row>
    <row r="109" ht="15.75" customHeight="1">
      <c r="D109" s="42"/>
      <c r="E109" s="42"/>
    </row>
    <row r="110" ht="15.75" customHeight="1">
      <c r="D110" s="42"/>
      <c r="E110" s="42"/>
    </row>
    <row r="111" ht="15.75" customHeight="1">
      <c r="D111" s="42"/>
      <c r="E111" s="42"/>
    </row>
    <row r="112" ht="15.75" customHeight="1">
      <c r="D112" s="42"/>
      <c r="E112" s="42"/>
    </row>
    <row r="113" ht="15.75" customHeight="1">
      <c r="D113" s="42"/>
      <c r="E113" s="42"/>
    </row>
    <row r="114" ht="15.75" customHeight="1">
      <c r="D114" s="42"/>
      <c r="E114" s="42"/>
    </row>
    <row r="115" ht="15.75" customHeight="1">
      <c r="D115" s="42"/>
      <c r="E115" s="42"/>
    </row>
    <row r="116" ht="15.75" customHeight="1">
      <c r="D116" s="42"/>
      <c r="E116" s="42"/>
    </row>
    <row r="117" ht="15.75" customHeight="1">
      <c r="D117" s="42"/>
      <c r="E117" s="42"/>
    </row>
    <row r="118" ht="15.75" customHeight="1">
      <c r="D118" s="42"/>
      <c r="E118" s="42"/>
    </row>
    <row r="119" ht="15.75" customHeight="1">
      <c r="D119" s="42"/>
      <c r="E119" s="42"/>
    </row>
    <row r="120" ht="15.75" customHeight="1">
      <c r="D120" s="42"/>
      <c r="E120" s="42"/>
    </row>
    <row r="121" ht="15.75" customHeight="1">
      <c r="D121" s="42"/>
      <c r="E121" s="42"/>
    </row>
    <row r="122" ht="15.75" customHeight="1">
      <c r="D122" s="42"/>
      <c r="E122" s="42"/>
    </row>
    <row r="123" ht="15.75" customHeight="1">
      <c r="D123" s="42"/>
      <c r="E123" s="42"/>
    </row>
    <row r="124" ht="15.75" customHeight="1">
      <c r="D124" s="42"/>
      <c r="E124" s="42"/>
    </row>
    <row r="125" ht="15.75" customHeight="1">
      <c r="D125" s="42"/>
      <c r="E125" s="42"/>
    </row>
    <row r="126" ht="15.75" customHeight="1">
      <c r="D126" s="42"/>
      <c r="E126" s="42"/>
    </row>
    <row r="127" ht="15.75" customHeight="1">
      <c r="D127" s="42"/>
      <c r="E127" s="42"/>
    </row>
    <row r="128" ht="15.75" customHeight="1">
      <c r="D128" s="42"/>
      <c r="E128" s="42"/>
    </row>
    <row r="129" ht="15.75" customHeight="1">
      <c r="D129" s="42"/>
      <c r="E129" s="42"/>
    </row>
    <row r="130" ht="15.75" customHeight="1">
      <c r="D130" s="42"/>
      <c r="E130" s="42"/>
    </row>
    <row r="131" ht="15.75" customHeight="1">
      <c r="D131" s="42"/>
      <c r="E131" s="42"/>
    </row>
    <row r="132" ht="15.75" customHeight="1">
      <c r="D132" s="42"/>
      <c r="E132" s="42"/>
    </row>
    <row r="133" ht="15.75" customHeight="1">
      <c r="D133" s="42"/>
      <c r="E133" s="42"/>
    </row>
    <row r="134" ht="15.75" customHeight="1">
      <c r="D134" s="42"/>
      <c r="E134" s="42"/>
    </row>
    <row r="135" ht="15.75" customHeight="1">
      <c r="D135" s="42"/>
      <c r="E135" s="42"/>
    </row>
    <row r="136" ht="15.75" customHeight="1">
      <c r="D136" s="42"/>
      <c r="E136" s="42"/>
    </row>
    <row r="137" ht="15.75" customHeight="1">
      <c r="D137" s="42"/>
      <c r="E137" s="42"/>
    </row>
    <row r="138" ht="15.75" customHeight="1">
      <c r="D138" s="42"/>
      <c r="E138" s="42"/>
    </row>
    <row r="139" ht="15.75" customHeight="1">
      <c r="D139" s="42"/>
      <c r="E139" s="42"/>
    </row>
    <row r="140" ht="15.75" customHeight="1">
      <c r="D140" s="42"/>
      <c r="E140" s="42"/>
    </row>
    <row r="141" ht="15.75" customHeight="1">
      <c r="D141" s="42"/>
      <c r="E141" s="42"/>
    </row>
    <row r="142" ht="15.75" customHeight="1">
      <c r="D142" s="42"/>
      <c r="E142" s="42"/>
    </row>
    <row r="143" ht="15.75" customHeight="1">
      <c r="D143" s="42"/>
      <c r="E143" s="42"/>
    </row>
    <row r="144" ht="15.75" customHeight="1">
      <c r="D144" s="42"/>
      <c r="E144" s="42"/>
    </row>
    <row r="145" ht="15.75" customHeight="1">
      <c r="D145" s="42"/>
      <c r="E145" s="42"/>
    </row>
    <row r="146" ht="15.75" customHeight="1">
      <c r="D146" s="42"/>
      <c r="E146" s="42"/>
    </row>
    <row r="147" ht="15.75" customHeight="1">
      <c r="D147" s="42"/>
      <c r="E147" s="42"/>
    </row>
    <row r="148" ht="15.75" customHeight="1">
      <c r="D148" s="42"/>
      <c r="E148" s="42"/>
    </row>
    <row r="149" ht="15.75" customHeight="1">
      <c r="D149" s="42"/>
      <c r="E149" s="42"/>
    </row>
    <row r="150" ht="15.75" customHeight="1">
      <c r="D150" s="42"/>
      <c r="E150" s="42"/>
    </row>
    <row r="151" ht="15.75" customHeight="1">
      <c r="D151" s="42"/>
      <c r="E151" s="42"/>
    </row>
    <row r="152" ht="15.75" customHeight="1">
      <c r="D152" s="42"/>
      <c r="E152" s="42"/>
    </row>
    <row r="153" ht="15.75" customHeight="1">
      <c r="D153" s="42"/>
      <c r="E153" s="42"/>
    </row>
    <row r="154" ht="15.75" customHeight="1">
      <c r="D154" s="42"/>
      <c r="E154" s="42"/>
    </row>
    <row r="155" ht="15.75" customHeight="1">
      <c r="D155" s="42"/>
      <c r="E155" s="42"/>
    </row>
    <row r="156" ht="15.75" customHeight="1">
      <c r="D156" s="42"/>
      <c r="E156" s="42"/>
    </row>
    <row r="157" ht="15.75" customHeight="1">
      <c r="D157" s="42"/>
      <c r="E157" s="42"/>
    </row>
    <row r="158" ht="15.75" customHeight="1">
      <c r="D158" s="42"/>
      <c r="E158" s="42"/>
    </row>
    <row r="159" ht="15.75" customHeight="1">
      <c r="D159" s="42"/>
      <c r="E159" s="42"/>
    </row>
    <row r="160" ht="15.75" customHeight="1">
      <c r="D160" s="42"/>
      <c r="E160" s="42"/>
    </row>
    <row r="161" ht="15.75" customHeight="1">
      <c r="D161" s="42"/>
      <c r="E161" s="42"/>
    </row>
    <row r="162" ht="15.75" customHeight="1">
      <c r="D162" s="42"/>
      <c r="E162" s="42"/>
    </row>
    <row r="163" ht="15.75" customHeight="1">
      <c r="D163" s="42"/>
      <c r="E163" s="42"/>
    </row>
    <row r="164" ht="15.75" customHeight="1">
      <c r="D164" s="42"/>
      <c r="E164" s="42"/>
    </row>
    <row r="165" ht="15.75" customHeight="1">
      <c r="D165" s="42"/>
      <c r="E165" s="42"/>
    </row>
    <row r="166" ht="15.75" customHeight="1">
      <c r="D166" s="42"/>
      <c r="E166" s="42"/>
    </row>
    <row r="167" ht="15.75" customHeight="1">
      <c r="D167" s="42"/>
      <c r="E167" s="42"/>
    </row>
    <row r="168" ht="15.75" customHeight="1">
      <c r="D168" s="42"/>
      <c r="E168" s="42"/>
    </row>
    <row r="169" ht="15.75" customHeight="1">
      <c r="D169" s="42"/>
      <c r="E169" s="42"/>
    </row>
    <row r="170" ht="15.75" customHeight="1">
      <c r="D170" s="42"/>
      <c r="E170" s="42"/>
    </row>
    <row r="171" ht="15.75" customHeight="1">
      <c r="D171" s="42"/>
      <c r="E171" s="42"/>
    </row>
    <row r="172" ht="15.75" customHeight="1">
      <c r="D172" s="42"/>
      <c r="E172" s="42"/>
    </row>
    <row r="173" ht="15.75" customHeight="1">
      <c r="D173" s="42"/>
      <c r="E173" s="42"/>
    </row>
    <row r="174" ht="15.75" customHeight="1">
      <c r="D174" s="42"/>
      <c r="E174" s="42"/>
    </row>
    <row r="175" ht="15.75" customHeight="1">
      <c r="D175" s="42"/>
      <c r="E175" s="42"/>
    </row>
    <row r="176" ht="15.75" customHeight="1">
      <c r="D176" s="42"/>
      <c r="E176" s="42"/>
    </row>
    <row r="177" ht="15.75" customHeight="1">
      <c r="D177" s="42"/>
      <c r="E177" s="42"/>
    </row>
    <row r="178" ht="15.75" customHeight="1">
      <c r="D178" s="42"/>
      <c r="E178" s="42"/>
    </row>
    <row r="179" ht="15.75" customHeight="1">
      <c r="D179" s="42"/>
      <c r="E179" s="42"/>
    </row>
    <row r="180" ht="15.75" customHeight="1">
      <c r="D180" s="42"/>
      <c r="E180" s="42"/>
    </row>
    <row r="181" ht="15.75" customHeight="1">
      <c r="D181" s="42"/>
      <c r="E181" s="42"/>
    </row>
    <row r="182" ht="15.75" customHeight="1">
      <c r="D182" s="42"/>
      <c r="E182" s="42"/>
    </row>
    <row r="183" ht="15.75" customHeight="1">
      <c r="D183" s="42"/>
      <c r="E183" s="42"/>
    </row>
    <row r="184" ht="15.75" customHeight="1">
      <c r="D184" s="42"/>
      <c r="E184" s="42"/>
    </row>
    <row r="185" ht="15.75" customHeight="1">
      <c r="D185" s="42"/>
      <c r="E185" s="42"/>
    </row>
    <row r="186" ht="15.75" customHeight="1">
      <c r="D186" s="42"/>
      <c r="E186" s="42"/>
    </row>
    <row r="187" ht="15.75" customHeight="1">
      <c r="D187" s="42"/>
      <c r="E187" s="42"/>
    </row>
    <row r="188" ht="15.75" customHeight="1">
      <c r="D188" s="42"/>
      <c r="E188" s="42"/>
    </row>
    <row r="189" ht="15.75" customHeight="1">
      <c r="D189" s="42"/>
      <c r="E189" s="42"/>
    </row>
    <row r="190" ht="15.75" customHeight="1">
      <c r="D190" s="42"/>
      <c r="E190" s="42"/>
    </row>
    <row r="191" ht="15.75" customHeight="1">
      <c r="D191" s="42"/>
      <c r="E191" s="42"/>
    </row>
    <row r="192" ht="15.75" customHeight="1">
      <c r="D192" s="42"/>
      <c r="E192" s="42"/>
    </row>
    <row r="193" ht="15.75" customHeight="1">
      <c r="D193" s="42"/>
      <c r="E193" s="42"/>
    </row>
    <row r="194" ht="15.75" customHeight="1">
      <c r="D194" s="42"/>
      <c r="E194" s="42"/>
    </row>
    <row r="195" ht="15.75" customHeight="1">
      <c r="D195" s="42"/>
      <c r="E195" s="42"/>
    </row>
    <row r="196" ht="15.75" customHeight="1">
      <c r="D196" s="42"/>
      <c r="E196" s="42"/>
    </row>
    <row r="197" ht="15.75" customHeight="1">
      <c r="D197" s="42"/>
      <c r="E197" s="42"/>
    </row>
    <row r="198" ht="15.75" customHeight="1">
      <c r="D198" s="42"/>
      <c r="E198" s="42"/>
    </row>
    <row r="199" ht="15.75" customHeight="1">
      <c r="D199" s="42"/>
      <c r="E199" s="42"/>
    </row>
    <row r="200" ht="15.75" customHeight="1">
      <c r="D200" s="42"/>
      <c r="E200" s="42"/>
    </row>
    <row r="201" ht="15.75" customHeight="1">
      <c r="D201" s="42"/>
      <c r="E201" s="42"/>
    </row>
    <row r="202" ht="15.75" customHeight="1">
      <c r="D202" s="42"/>
      <c r="E202" s="42"/>
    </row>
    <row r="203" ht="15.75" customHeight="1">
      <c r="D203" s="42"/>
      <c r="E203" s="42"/>
    </row>
    <row r="204" ht="15.75" customHeight="1">
      <c r="D204" s="42"/>
      <c r="E204" s="42"/>
    </row>
    <row r="205" ht="15.75" customHeight="1">
      <c r="D205" s="42"/>
      <c r="E205" s="42"/>
    </row>
    <row r="206" ht="15.75" customHeight="1">
      <c r="D206" s="42"/>
      <c r="E206" s="42"/>
    </row>
    <row r="207" ht="15.75" customHeight="1">
      <c r="D207" s="42"/>
      <c r="E207" s="42"/>
    </row>
    <row r="208" ht="15.75" customHeight="1">
      <c r="D208" s="42"/>
      <c r="E208" s="42"/>
    </row>
    <row r="209" ht="15.75" customHeight="1">
      <c r="D209" s="42"/>
      <c r="E209" s="42"/>
    </row>
    <row r="210" ht="15.75" customHeight="1">
      <c r="D210" s="42"/>
      <c r="E210" s="42"/>
    </row>
    <row r="211" ht="15.75" customHeight="1">
      <c r="D211" s="42"/>
      <c r="E211" s="42"/>
    </row>
    <row r="212" ht="15.75" customHeight="1">
      <c r="D212" s="42"/>
      <c r="E212" s="42"/>
    </row>
    <row r="213" ht="15.75" customHeight="1">
      <c r="D213" s="42"/>
      <c r="E213" s="42"/>
    </row>
    <row r="214" ht="15.75" customHeight="1">
      <c r="D214" s="42"/>
      <c r="E214" s="42"/>
    </row>
    <row r="215" ht="15.75" customHeight="1">
      <c r="D215" s="42"/>
      <c r="E215" s="42"/>
    </row>
    <row r="216" ht="15.75" customHeight="1">
      <c r="D216" s="42"/>
      <c r="E216" s="42"/>
    </row>
    <row r="217" ht="15.75" customHeight="1">
      <c r="D217" s="42"/>
      <c r="E217" s="42"/>
    </row>
    <row r="218" ht="15.75" customHeight="1">
      <c r="D218" s="42"/>
      <c r="E218" s="42"/>
    </row>
    <row r="219" ht="15.75" customHeight="1">
      <c r="D219" s="42"/>
      <c r="E219" s="42"/>
    </row>
    <row r="220" ht="15.75" customHeight="1">
      <c r="D220" s="42"/>
      <c r="E220" s="42"/>
    </row>
    <row r="221" ht="15.75" customHeight="1">
      <c r="D221" s="42"/>
      <c r="E221" s="42"/>
    </row>
    <row r="222" ht="15.75" customHeight="1">
      <c r="D222" s="42"/>
      <c r="E222" s="42"/>
    </row>
    <row r="223" ht="15.75" customHeight="1">
      <c r="D223" s="42"/>
      <c r="E223" s="42"/>
    </row>
    <row r="224" ht="15.75" customHeight="1">
      <c r="D224" s="42"/>
      <c r="E224" s="42"/>
    </row>
    <row r="225" ht="15.75" customHeight="1">
      <c r="D225" s="42"/>
      <c r="E225" s="42"/>
    </row>
    <row r="226" ht="15.75" customHeight="1">
      <c r="D226" s="42"/>
      <c r="E226" s="42"/>
    </row>
    <row r="227" ht="15.75" customHeight="1">
      <c r="D227" s="42"/>
      <c r="E227" s="42"/>
    </row>
    <row r="228" ht="15.75" customHeight="1">
      <c r="D228" s="42"/>
      <c r="E228" s="42"/>
    </row>
    <row r="229" ht="15.75" customHeight="1">
      <c r="D229" s="42"/>
      <c r="E229" s="42"/>
    </row>
    <row r="230" ht="15.75" customHeight="1">
      <c r="D230" s="42"/>
      <c r="E230" s="42"/>
    </row>
    <row r="231" ht="15.75" customHeight="1">
      <c r="D231" s="42"/>
      <c r="E231" s="42"/>
    </row>
    <row r="232" ht="15.75" customHeight="1">
      <c r="D232" s="42"/>
      <c r="E232" s="42"/>
    </row>
    <row r="233" ht="15.75" customHeight="1">
      <c r="D233" s="42"/>
      <c r="E233" s="42"/>
    </row>
    <row r="234" ht="15.75" customHeight="1">
      <c r="D234" s="42"/>
      <c r="E234" s="42"/>
    </row>
    <row r="235" ht="15.75" customHeight="1">
      <c r="D235" s="42"/>
      <c r="E235" s="42"/>
    </row>
    <row r="236" ht="15.75" customHeight="1">
      <c r="D236" s="42"/>
      <c r="E236" s="42"/>
    </row>
    <row r="237" ht="15.75" customHeight="1">
      <c r="D237" s="42"/>
      <c r="E237" s="42"/>
    </row>
    <row r="238" ht="15.75" customHeight="1">
      <c r="D238" s="42"/>
      <c r="E238" s="42"/>
    </row>
    <row r="239" ht="15.75" customHeight="1">
      <c r="D239" s="42"/>
      <c r="E239" s="42"/>
    </row>
    <row r="240" ht="15.75" customHeight="1">
      <c r="D240" s="42"/>
      <c r="E240" s="42"/>
    </row>
    <row r="241" ht="15.75" customHeight="1">
      <c r="D241" s="42"/>
      <c r="E241" s="42"/>
    </row>
    <row r="242" ht="15.75" customHeight="1">
      <c r="D242" s="42"/>
      <c r="E242" s="42"/>
    </row>
    <row r="243" ht="15.75" customHeight="1">
      <c r="D243" s="42"/>
      <c r="E243" s="42"/>
    </row>
    <row r="244" ht="15.75" customHeight="1">
      <c r="D244" s="42"/>
      <c r="E244" s="42"/>
    </row>
    <row r="245" ht="15.75" customHeight="1">
      <c r="D245" s="42"/>
      <c r="E245" s="42"/>
    </row>
    <row r="246" ht="15.75" customHeight="1">
      <c r="D246" s="42"/>
      <c r="E246" s="42"/>
    </row>
    <row r="247" ht="15.75" customHeight="1">
      <c r="D247" s="42"/>
      <c r="E247" s="42"/>
    </row>
    <row r="248" ht="15.75" customHeight="1">
      <c r="D248" s="42"/>
      <c r="E248" s="42"/>
    </row>
    <row r="249" ht="15.75" customHeight="1">
      <c r="D249" s="42"/>
      <c r="E249" s="42"/>
    </row>
    <row r="250" ht="15.75" customHeight="1">
      <c r="D250" s="42"/>
      <c r="E250" s="42"/>
    </row>
    <row r="251" ht="15.75" customHeight="1">
      <c r="D251" s="42"/>
      <c r="E251" s="42"/>
    </row>
    <row r="252" ht="15.75" customHeight="1">
      <c r="D252" s="42"/>
      <c r="E252" s="42"/>
    </row>
    <row r="253" ht="15.75" customHeight="1">
      <c r="D253" s="42"/>
      <c r="E253" s="42"/>
    </row>
    <row r="254" ht="15.75" customHeight="1">
      <c r="D254" s="42"/>
      <c r="E254" s="42"/>
    </row>
    <row r="255" ht="15.75" customHeight="1">
      <c r="D255" s="42"/>
      <c r="E255" s="42"/>
    </row>
    <row r="256" ht="15.75" customHeight="1">
      <c r="D256" s="42"/>
      <c r="E256" s="42"/>
    </row>
    <row r="257" ht="15.75" customHeight="1">
      <c r="D257" s="42"/>
      <c r="E257" s="42"/>
    </row>
    <row r="258" ht="15.75" customHeight="1">
      <c r="D258" s="42"/>
      <c r="E258" s="42"/>
    </row>
    <row r="259" ht="15.75" customHeight="1">
      <c r="D259" s="42"/>
      <c r="E259" s="42"/>
    </row>
    <row r="260" ht="15.75" customHeight="1">
      <c r="D260" s="42"/>
      <c r="E260" s="42"/>
    </row>
    <row r="261" ht="15.75" customHeight="1">
      <c r="D261" s="42"/>
      <c r="E261" s="42"/>
    </row>
    <row r="262" ht="15.75" customHeight="1">
      <c r="D262" s="42"/>
      <c r="E262" s="42"/>
    </row>
    <row r="263" ht="15.75" customHeight="1">
      <c r="D263" s="42"/>
      <c r="E263" s="42"/>
    </row>
    <row r="264" ht="15.75" customHeight="1">
      <c r="D264" s="42"/>
      <c r="E264" s="42"/>
    </row>
    <row r="265" ht="15.75" customHeight="1">
      <c r="D265" s="42"/>
      <c r="E265" s="42"/>
    </row>
    <row r="266" ht="15.75" customHeight="1">
      <c r="D266" s="42"/>
      <c r="E266" s="42"/>
    </row>
    <row r="267" ht="15.75" customHeight="1">
      <c r="D267" s="42"/>
      <c r="E267" s="42"/>
    </row>
    <row r="268" ht="15.75" customHeight="1">
      <c r="D268" s="42"/>
      <c r="E268" s="42"/>
    </row>
    <row r="269" ht="15.75" customHeight="1">
      <c r="D269" s="42"/>
      <c r="E269" s="42"/>
    </row>
    <row r="270" ht="15.75" customHeight="1">
      <c r="D270" s="42"/>
      <c r="E270" s="42"/>
    </row>
    <row r="271" ht="15.75" customHeight="1">
      <c r="D271" s="42"/>
      <c r="E271" s="42"/>
    </row>
    <row r="272" ht="15.75" customHeight="1">
      <c r="D272" s="42"/>
      <c r="E272" s="42"/>
    </row>
    <row r="273" ht="15.75" customHeight="1">
      <c r="D273" s="42"/>
      <c r="E273" s="42"/>
    </row>
    <row r="274" ht="15.75" customHeight="1">
      <c r="D274" s="42"/>
      <c r="E274" s="42"/>
    </row>
    <row r="275" ht="15.75" customHeight="1">
      <c r="D275" s="42"/>
      <c r="E275" s="42"/>
    </row>
    <row r="276" ht="15.75" customHeight="1">
      <c r="D276" s="42"/>
      <c r="E276" s="42"/>
    </row>
    <row r="277" ht="15.75" customHeight="1">
      <c r="D277" s="42"/>
      <c r="E277" s="42"/>
    </row>
    <row r="278" ht="15.75" customHeight="1">
      <c r="D278" s="42"/>
      <c r="E278" s="42"/>
    </row>
    <row r="279" ht="15.75" customHeight="1">
      <c r="D279" s="42"/>
      <c r="E279" s="42"/>
    </row>
    <row r="280" ht="15.75" customHeight="1">
      <c r="D280" s="42"/>
      <c r="E280" s="42"/>
    </row>
    <row r="281" ht="15.75" customHeight="1">
      <c r="D281" s="42"/>
      <c r="E281" s="42"/>
    </row>
    <row r="282" ht="15.75" customHeight="1">
      <c r="D282" s="42"/>
      <c r="E282" s="42"/>
    </row>
    <row r="283" ht="15.75" customHeight="1">
      <c r="D283" s="42"/>
      <c r="E283" s="42"/>
    </row>
    <row r="284" ht="15.75" customHeight="1">
      <c r="D284" s="42"/>
      <c r="E284" s="42"/>
    </row>
    <row r="285" ht="15.75" customHeight="1">
      <c r="D285" s="42"/>
      <c r="E285" s="42"/>
    </row>
    <row r="286" ht="15.75" customHeight="1">
      <c r="D286" s="42"/>
      <c r="E286" s="42"/>
    </row>
    <row r="287" ht="15.75" customHeight="1">
      <c r="D287" s="42"/>
      <c r="E287" s="42"/>
    </row>
    <row r="288" ht="15.75" customHeight="1">
      <c r="D288" s="42"/>
      <c r="E288" s="42"/>
    </row>
    <row r="289" ht="15.75" customHeight="1">
      <c r="D289" s="42"/>
      <c r="E289" s="42"/>
    </row>
    <row r="290" ht="15.75" customHeight="1">
      <c r="D290" s="42"/>
      <c r="E290" s="42"/>
    </row>
    <row r="291" ht="15.75" customHeight="1">
      <c r="D291" s="42"/>
      <c r="E291" s="42"/>
    </row>
    <row r="292" ht="15.75" customHeight="1">
      <c r="D292" s="42"/>
      <c r="E292" s="42"/>
    </row>
    <row r="293" ht="15.75" customHeight="1">
      <c r="D293" s="42"/>
      <c r="E293" s="42"/>
    </row>
    <row r="294" ht="15.75" customHeight="1">
      <c r="D294" s="42"/>
      <c r="E294" s="42"/>
    </row>
    <row r="295" ht="15.75" customHeight="1">
      <c r="D295" s="42"/>
      <c r="E295" s="42"/>
    </row>
    <row r="296" ht="15.75" customHeight="1">
      <c r="D296" s="42"/>
      <c r="E296" s="42"/>
    </row>
    <row r="297" ht="15.75" customHeight="1">
      <c r="D297" s="42"/>
      <c r="E297" s="42"/>
    </row>
    <row r="298" ht="15.75" customHeight="1">
      <c r="D298" s="42"/>
      <c r="E298" s="42"/>
    </row>
    <row r="299" ht="15.75" customHeight="1">
      <c r="D299" s="42"/>
      <c r="E299" s="42"/>
    </row>
    <row r="300" ht="15.75" customHeight="1">
      <c r="D300" s="42"/>
      <c r="E300" s="42"/>
    </row>
    <row r="301" ht="15.75" customHeight="1">
      <c r="D301" s="42"/>
      <c r="E301" s="42"/>
    </row>
    <row r="302" ht="15.75" customHeight="1">
      <c r="D302" s="42"/>
      <c r="E302" s="42"/>
    </row>
    <row r="303" ht="15.75" customHeight="1">
      <c r="D303" s="42"/>
      <c r="E303" s="42"/>
    </row>
    <row r="304" ht="15.75" customHeight="1">
      <c r="D304" s="42"/>
      <c r="E304" s="42"/>
    </row>
    <row r="305" ht="15.75" customHeight="1">
      <c r="D305" s="42"/>
      <c r="E305" s="42"/>
    </row>
    <row r="306" ht="15.75" customHeight="1">
      <c r="D306" s="42"/>
      <c r="E306" s="42"/>
    </row>
    <row r="307" ht="15.75" customHeight="1">
      <c r="D307" s="42"/>
      <c r="E307" s="42"/>
    </row>
    <row r="308" ht="15.75" customHeight="1">
      <c r="D308" s="42"/>
      <c r="E308" s="42"/>
    </row>
    <row r="309" ht="15.75" customHeight="1">
      <c r="D309" s="42"/>
      <c r="E309" s="42"/>
    </row>
    <row r="310" ht="15.75" customHeight="1">
      <c r="D310" s="42"/>
      <c r="E310" s="42"/>
    </row>
    <row r="311" ht="15.75" customHeight="1">
      <c r="D311" s="42"/>
      <c r="E311" s="42"/>
    </row>
    <row r="312" ht="15.75" customHeight="1">
      <c r="D312" s="42"/>
      <c r="E312" s="42"/>
    </row>
    <row r="313" ht="15.75" customHeight="1">
      <c r="D313" s="42"/>
      <c r="E313" s="42"/>
    </row>
    <row r="314" ht="15.75" customHeight="1">
      <c r="D314" s="42"/>
      <c r="E314" s="42"/>
    </row>
    <row r="315" ht="15.75" customHeight="1">
      <c r="D315" s="42"/>
      <c r="E315" s="42"/>
    </row>
    <row r="316" ht="15.75" customHeight="1">
      <c r="D316" s="42"/>
      <c r="E316" s="42"/>
    </row>
    <row r="317" ht="15.75" customHeight="1">
      <c r="D317" s="42"/>
      <c r="E317" s="42"/>
    </row>
    <row r="318" ht="15.75" customHeight="1">
      <c r="D318" s="42"/>
      <c r="E318" s="42"/>
    </row>
    <row r="319" ht="15.75" customHeight="1">
      <c r="D319" s="42"/>
      <c r="E319" s="42"/>
    </row>
    <row r="320" ht="15.75" customHeight="1">
      <c r="D320" s="42"/>
      <c r="E320" s="42"/>
    </row>
    <row r="321" ht="15.75" customHeight="1">
      <c r="D321" s="42"/>
      <c r="E321" s="42"/>
    </row>
    <row r="322" ht="15.75" customHeight="1">
      <c r="D322" s="42"/>
      <c r="E322" s="42"/>
    </row>
    <row r="323" ht="15.75" customHeight="1">
      <c r="D323" s="42"/>
      <c r="E323" s="42"/>
    </row>
    <row r="324" ht="15.75" customHeight="1">
      <c r="D324" s="42"/>
      <c r="E324" s="42"/>
    </row>
    <row r="325" ht="15.75" customHeight="1">
      <c r="D325" s="42"/>
      <c r="E325" s="42"/>
    </row>
    <row r="326" ht="15.75" customHeight="1">
      <c r="D326" s="42"/>
      <c r="E326" s="42"/>
    </row>
    <row r="327" ht="15.75" customHeight="1">
      <c r="D327" s="42"/>
      <c r="E327" s="42"/>
    </row>
    <row r="328" ht="15.75" customHeight="1">
      <c r="D328" s="42"/>
      <c r="E328" s="42"/>
    </row>
    <row r="329" ht="15.75" customHeight="1">
      <c r="D329" s="42"/>
      <c r="E329" s="42"/>
    </row>
    <row r="330" ht="15.75" customHeight="1">
      <c r="D330" s="42"/>
      <c r="E330" s="42"/>
    </row>
    <row r="331" ht="15.75" customHeight="1">
      <c r="D331" s="42"/>
      <c r="E331" s="42"/>
    </row>
    <row r="332" ht="15.75" customHeight="1">
      <c r="D332" s="42"/>
      <c r="E332" s="42"/>
    </row>
    <row r="333" ht="15.75" customHeight="1">
      <c r="D333" s="42"/>
      <c r="E333" s="42"/>
    </row>
    <row r="334" ht="15.75" customHeight="1">
      <c r="D334" s="42"/>
      <c r="E334" s="42"/>
    </row>
    <row r="335" ht="15.75" customHeight="1">
      <c r="D335" s="42"/>
      <c r="E335" s="42"/>
    </row>
    <row r="336" ht="15.75" customHeight="1">
      <c r="D336" s="42"/>
      <c r="E336" s="42"/>
    </row>
    <row r="337" ht="15.75" customHeight="1">
      <c r="D337" s="42"/>
      <c r="E337" s="42"/>
    </row>
    <row r="338" ht="15.75" customHeight="1">
      <c r="D338" s="42"/>
      <c r="E338" s="42"/>
    </row>
    <row r="339" ht="15.75" customHeight="1">
      <c r="D339" s="42"/>
      <c r="E339" s="42"/>
    </row>
    <row r="340" ht="15.75" customHeight="1">
      <c r="D340" s="42"/>
      <c r="E340" s="42"/>
    </row>
    <row r="341" ht="15.75" customHeight="1">
      <c r="D341" s="42"/>
      <c r="E341" s="42"/>
    </row>
    <row r="342" ht="15.75" customHeight="1">
      <c r="D342" s="42"/>
      <c r="E342" s="42"/>
    </row>
    <row r="343" ht="15.75" customHeight="1">
      <c r="D343" s="42"/>
      <c r="E343" s="42"/>
    </row>
    <row r="344" ht="15.75" customHeight="1">
      <c r="D344" s="42"/>
      <c r="E344" s="42"/>
    </row>
    <row r="345" ht="15.75" customHeight="1">
      <c r="D345" s="42"/>
      <c r="E345" s="42"/>
    </row>
    <row r="346" ht="15.75" customHeight="1">
      <c r="D346" s="42"/>
      <c r="E346" s="42"/>
    </row>
    <row r="347" ht="15.75" customHeight="1">
      <c r="D347" s="42"/>
      <c r="E347" s="42"/>
    </row>
    <row r="348" ht="15.75" customHeight="1">
      <c r="D348" s="42"/>
      <c r="E348" s="42"/>
    </row>
    <row r="349" ht="15.75" customHeight="1">
      <c r="D349" s="42"/>
      <c r="E349" s="42"/>
    </row>
    <row r="350" ht="15.75" customHeight="1">
      <c r="D350" s="42"/>
      <c r="E350" s="42"/>
    </row>
    <row r="351" ht="15.75" customHeight="1">
      <c r="D351" s="42"/>
      <c r="E351" s="42"/>
    </row>
    <row r="352" ht="15.75" customHeight="1">
      <c r="D352" s="42"/>
      <c r="E352" s="42"/>
    </row>
    <row r="353" ht="15.75" customHeight="1">
      <c r="D353" s="42"/>
      <c r="E353" s="42"/>
    </row>
    <row r="354" ht="15.75" customHeight="1">
      <c r="D354" s="42"/>
      <c r="E354" s="42"/>
    </row>
    <row r="355" ht="15.75" customHeight="1">
      <c r="D355" s="42"/>
      <c r="E355" s="42"/>
    </row>
    <row r="356" ht="15.75" customHeight="1">
      <c r="D356" s="42"/>
      <c r="E356" s="42"/>
    </row>
    <row r="357" ht="15.75" customHeight="1">
      <c r="D357" s="42"/>
      <c r="E357" s="42"/>
    </row>
    <row r="358" ht="15.75" customHeight="1">
      <c r="D358" s="42"/>
      <c r="E358" s="42"/>
    </row>
    <row r="359" ht="15.75" customHeight="1">
      <c r="D359" s="42"/>
      <c r="E359" s="42"/>
    </row>
    <row r="360" ht="15.75" customHeight="1">
      <c r="D360" s="42"/>
      <c r="E360" s="42"/>
    </row>
    <row r="361" ht="15.75" customHeight="1">
      <c r="D361" s="42"/>
      <c r="E361" s="42"/>
    </row>
    <row r="362" ht="15.75" customHeight="1">
      <c r="D362" s="42"/>
      <c r="E362" s="42"/>
    </row>
    <row r="363" ht="15.75" customHeight="1">
      <c r="D363" s="42"/>
      <c r="E363" s="42"/>
    </row>
    <row r="364" ht="15.75" customHeight="1">
      <c r="D364" s="42"/>
      <c r="E364" s="42"/>
    </row>
    <row r="365" ht="15.75" customHeight="1">
      <c r="D365" s="42"/>
      <c r="E365" s="42"/>
    </row>
    <row r="366" ht="15.75" customHeight="1">
      <c r="D366" s="42"/>
      <c r="E366" s="42"/>
    </row>
    <row r="367" ht="15.75" customHeight="1">
      <c r="D367" s="42"/>
      <c r="E367" s="42"/>
    </row>
    <row r="368" ht="15.75" customHeight="1">
      <c r="D368" s="42"/>
      <c r="E368" s="42"/>
    </row>
    <row r="369" ht="15.75" customHeight="1">
      <c r="D369" s="42"/>
      <c r="E369" s="42"/>
    </row>
    <row r="370" ht="15.75" customHeight="1">
      <c r="D370" s="42"/>
      <c r="E370" s="42"/>
    </row>
    <row r="371" ht="15.75" customHeight="1">
      <c r="D371" s="42"/>
      <c r="E371" s="42"/>
    </row>
    <row r="372" ht="15.75" customHeight="1">
      <c r="D372" s="42"/>
      <c r="E372" s="42"/>
    </row>
    <row r="373" ht="15.75" customHeight="1">
      <c r="D373" s="42"/>
      <c r="E373" s="42"/>
    </row>
    <row r="374" ht="15.75" customHeight="1">
      <c r="D374" s="42"/>
      <c r="E374" s="42"/>
    </row>
    <row r="375" ht="15.75" customHeight="1">
      <c r="D375" s="42"/>
      <c r="E375" s="42"/>
    </row>
    <row r="376" ht="15.75" customHeight="1">
      <c r="D376" s="42"/>
      <c r="E376" s="42"/>
    </row>
    <row r="377" ht="15.75" customHeight="1">
      <c r="D377" s="42"/>
      <c r="E377" s="42"/>
    </row>
    <row r="378" ht="15.75" customHeight="1">
      <c r="D378" s="42"/>
      <c r="E378" s="42"/>
    </row>
    <row r="379" ht="15.75" customHeight="1">
      <c r="D379" s="42"/>
      <c r="E379" s="42"/>
    </row>
    <row r="380" ht="15.75" customHeight="1">
      <c r="D380" s="42"/>
      <c r="E380" s="42"/>
    </row>
    <row r="381" ht="15.75" customHeight="1">
      <c r="D381" s="42"/>
      <c r="E381" s="42"/>
    </row>
    <row r="382" ht="15.75" customHeight="1">
      <c r="D382" s="42"/>
      <c r="E382" s="42"/>
    </row>
    <row r="383" ht="15.75" customHeight="1">
      <c r="D383" s="42"/>
      <c r="E383" s="42"/>
    </row>
    <row r="384" ht="15.75" customHeight="1">
      <c r="D384" s="42"/>
      <c r="E384" s="42"/>
    </row>
    <row r="385" ht="15.75" customHeight="1">
      <c r="D385" s="42"/>
      <c r="E385" s="42"/>
    </row>
    <row r="386" ht="15.75" customHeight="1">
      <c r="D386" s="42"/>
      <c r="E386" s="42"/>
    </row>
    <row r="387" ht="15.75" customHeight="1">
      <c r="D387" s="42"/>
      <c r="E387" s="42"/>
    </row>
    <row r="388" ht="15.75" customHeight="1">
      <c r="D388" s="42"/>
      <c r="E388" s="42"/>
    </row>
    <row r="389" ht="15.75" customHeight="1">
      <c r="D389" s="42"/>
      <c r="E389" s="42"/>
    </row>
    <row r="390" ht="15.75" customHeight="1">
      <c r="D390" s="42"/>
      <c r="E390" s="42"/>
    </row>
    <row r="391" ht="15.75" customHeight="1">
      <c r="D391" s="42"/>
      <c r="E391" s="42"/>
    </row>
    <row r="392" ht="15.75" customHeight="1">
      <c r="D392" s="42"/>
      <c r="E392" s="42"/>
    </row>
    <row r="393" ht="15.75" customHeight="1">
      <c r="D393" s="42"/>
      <c r="E393" s="42"/>
    </row>
    <row r="394" ht="15.75" customHeight="1">
      <c r="D394" s="42"/>
      <c r="E394" s="42"/>
    </row>
    <row r="395" ht="15.75" customHeight="1">
      <c r="D395" s="42"/>
      <c r="E395" s="42"/>
    </row>
    <row r="396" ht="15.75" customHeight="1">
      <c r="D396" s="42"/>
      <c r="E396" s="42"/>
    </row>
    <row r="397" ht="15.75" customHeight="1">
      <c r="D397" s="42"/>
      <c r="E397" s="42"/>
    </row>
    <row r="398" ht="15.75" customHeight="1">
      <c r="D398" s="42"/>
      <c r="E398" s="42"/>
    </row>
    <row r="399" ht="15.75" customHeight="1">
      <c r="D399" s="42"/>
      <c r="E399" s="42"/>
    </row>
    <row r="400" ht="15.75" customHeight="1">
      <c r="D400" s="42"/>
      <c r="E400" s="42"/>
    </row>
    <row r="401" ht="15.75" customHeight="1">
      <c r="D401" s="42"/>
      <c r="E401" s="42"/>
    </row>
    <row r="402" ht="15.75" customHeight="1">
      <c r="D402" s="42"/>
      <c r="E402" s="42"/>
    </row>
    <row r="403" ht="15.75" customHeight="1">
      <c r="D403" s="42"/>
      <c r="E403" s="42"/>
    </row>
    <row r="404" ht="15.75" customHeight="1">
      <c r="D404" s="42"/>
      <c r="E404" s="42"/>
    </row>
    <row r="405" ht="15.75" customHeight="1">
      <c r="D405" s="42"/>
      <c r="E405" s="42"/>
    </row>
    <row r="406" ht="15.75" customHeight="1">
      <c r="D406" s="42"/>
      <c r="E406" s="42"/>
    </row>
    <row r="407" ht="15.75" customHeight="1">
      <c r="D407" s="42"/>
      <c r="E407" s="42"/>
    </row>
    <row r="408" ht="15.75" customHeight="1">
      <c r="D408" s="42"/>
      <c r="E408" s="42"/>
    </row>
    <row r="409" ht="15.75" customHeight="1">
      <c r="D409" s="42"/>
      <c r="E409" s="42"/>
    </row>
    <row r="410" ht="15.75" customHeight="1">
      <c r="D410" s="42"/>
      <c r="E410" s="42"/>
    </row>
    <row r="411" ht="15.75" customHeight="1">
      <c r="D411" s="42"/>
      <c r="E411" s="42"/>
    </row>
    <row r="412" ht="15.75" customHeight="1">
      <c r="D412" s="42"/>
      <c r="E412" s="42"/>
    </row>
    <row r="413" ht="15.75" customHeight="1">
      <c r="D413" s="42"/>
      <c r="E413" s="42"/>
    </row>
    <row r="414" ht="15.75" customHeight="1">
      <c r="D414" s="42"/>
      <c r="E414" s="42"/>
    </row>
    <row r="415" ht="15.75" customHeight="1">
      <c r="D415" s="42"/>
      <c r="E415" s="42"/>
    </row>
    <row r="416" ht="15.75" customHeight="1">
      <c r="D416" s="42"/>
      <c r="E416" s="42"/>
    </row>
    <row r="417" ht="15.75" customHeight="1">
      <c r="D417" s="42"/>
      <c r="E417" s="42"/>
    </row>
    <row r="418" ht="15.75" customHeight="1">
      <c r="D418" s="42"/>
      <c r="E418" s="42"/>
    </row>
    <row r="419" ht="15.75" customHeight="1">
      <c r="D419" s="42"/>
      <c r="E419" s="42"/>
    </row>
    <row r="420" ht="15.75" customHeight="1">
      <c r="D420" s="42"/>
      <c r="E420" s="42"/>
    </row>
    <row r="421" ht="15.75" customHeight="1">
      <c r="D421" s="42"/>
      <c r="E421" s="42"/>
    </row>
    <row r="422" ht="15.75" customHeight="1">
      <c r="D422" s="42"/>
      <c r="E422" s="42"/>
    </row>
    <row r="423" ht="15.75" customHeight="1">
      <c r="D423" s="42"/>
      <c r="E423" s="42"/>
    </row>
    <row r="424" ht="15.75" customHeight="1">
      <c r="D424" s="42"/>
      <c r="E424" s="42"/>
    </row>
    <row r="425" ht="15.75" customHeight="1">
      <c r="D425" s="42"/>
      <c r="E425" s="42"/>
    </row>
    <row r="426" ht="15.75" customHeight="1">
      <c r="D426" s="42"/>
      <c r="E426" s="42"/>
    </row>
    <row r="427" ht="15.75" customHeight="1">
      <c r="D427" s="42"/>
      <c r="E427" s="42"/>
    </row>
    <row r="428" ht="15.75" customHeight="1">
      <c r="D428" s="42"/>
      <c r="E428" s="42"/>
    </row>
    <row r="429" ht="15.75" customHeight="1">
      <c r="D429" s="42"/>
      <c r="E429" s="42"/>
    </row>
    <row r="430" ht="15.75" customHeight="1">
      <c r="D430" s="42"/>
      <c r="E430" s="42"/>
    </row>
    <row r="431" ht="15.75" customHeight="1">
      <c r="D431" s="42"/>
      <c r="E431" s="42"/>
    </row>
    <row r="432" ht="15.75" customHeight="1">
      <c r="D432" s="42"/>
      <c r="E432" s="42"/>
    </row>
    <row r="433" ht="15.75" customHeight="1">
      <c r="D433" s="42"/>
      <c r="E433" s="42"/>
    </row>
    <row r="434" ht="15.75" customHeight="1">
      <c r="D434" s="42"/>
      <c r="E434" s="42"/>
    </row>
    <row r="435" ht="15.75" customHeight="1">
      <c r="D435" s="42"/>
      <c r="E435" s="42"/>
    </row>
    <row r="436" ht="15.75" customHeight="1">
      <c r="D436" s="42"/>
      <c r="E436" s="42"/>
    </row>
    <row r="437" ht="15.75" customHeight="1">
      <c r="D437" s="42"/>
      <c r="E437" s="42"/>
    </row>
    <row r="438" ht="15.75" customHeight="1">
      <c r="D438" s="42"/>
      <c r="E438" s="42"/>
    </row>
    <row r="439" ht="15.75" customHeight="1">
      <c r="D439" s="42"/>
      <c r="E439" s="42"/>
    </row>
    <row r="440" ht="15.75" customHeight="1">
      <c r="D440" s="42"/>
      <c r="E440" s="42"/>
    </row>
    <row r="441" ht="15.75" customHeight="1">
      <c r="D441" s="42"/>
      <c r="E441" s="42"/>
    </row>
    <row r="442" ht="15.75" customHeight="1">
      <c r="D442" s="42"/>
      <c r="E442" s="42"/>
    </row>
    <row r="443" ht="15.75" customHeight="1">
      <c r="D443" s="42"/>
      <c r="E443" s="42"/>
    </row>
    <row r="444" ht="15.75" customHeight="1">
      <c r="D444" s="42"/>
      <c r="E444" s="42"/>
    </row>
    <row r="445" ht="15.75" customHeight="1">
      <c r="D445" s="42"/>
      <c r="E445" s="42"/>
    </row>
    <row r="446" ht="15.75" customHeight="1">
      <c r="D446" s="42"/>
      <c r="E446" s="42"/>
    </row>
    <row r="447" ht="15.75" customHeight="1">
      <c r="D447" s="42"/>
      <c r="E447" s="42"/>
    </row>
    <row r="448" ht="15.75" customHeight="1">
      <c r="D448" s="42"/>
      <c r="E448" s="42"/>
    </row>
    <row r="449" ht="15.75" customHeight="1">
      <c r="D449" s="42"/>
      <c r="E449" s="42"/>
    </row>
    <row r="450" ht="15.75" customHeight="1">
      <c r="D450" s="42"/>
      <c r="E450" s="42"/>
    </row>
    <row r="451" ht="15.75" customHeight="1">
      <c r="D451" s="42"/>
      <c r="E451" s="42"/>
    </row>
    <row r="452" ht="15.75" customHeight="1">
      <c r="D452" s="42"/>
      <c r="E452" s="42"/>
    </row>
    <row r="453" ht="15.75" customHeight="1">
      <c r="D453" s="42"/>
      <c r="E453" s="42"/>
    </row>
    <row r="454" ht="15.75" customHeight="1">
      <c r="D454" s="42"/>
      <c r="E454" s="42"/>
    </row>
    <row r="455" ht="15.75" customHeight="1">
      <c r="D455" s="42"/>
      <c r="E455" s="42"/>
    </row>
    <row r="456" ht="15.75" customHeight="1">
      <c r="D456" s="42"/>
      <c r="E456" s="42"/>
    </row>
    <row r="457" ht="15.75" customHeight="1">
      <c r="D457" s="42"/>
      <c r="E457" s="42"/>
    </row>
    <row r="458" ht="15.75" customHeight="1">
      <c r="D458" s="42"/>
      <c r="E458" s="42"/>
    </row>
    <row r="459" ht="15.75" customHeight="1">
      <c r="D459" s="42"/>
      <c r="E459" s="42"/>
    </row>
    <row r="460" ht="15.75" customHeight="1">
      <c r="D460" s="42"/>
      <c r="E460" s="42"/>
    </row>
    <row r="461" ht="15.75" customHeight="1">
      <c r="D461" s="42"/>
      <c r="E461" s="42"/>
    </row>
    <row r="462" ht="15.75" customHeight="1">
      <c r="D462" s="42"/>
      <c r="E462" s="42"/>
    </row>
    <row r="463" ht="15.75" customHeight="1">
      <c r="D463" s="42"/>
      <c r="E463" s="42"/>
    </row>
    <row r="464" ht="15.75" customHeight="1">
      <c r="D464" s="42"/>
      <c r="E464" s="42"/>
    </row>
    <row r="465" ht="15.75" customHeight="1">
      <c r="D465" s="42"/>
      <c r="E465" s="42"/>
    </row>
    <row r="466" ht="15.75" customHeight="1">
      <c r="D466" s="42"/>
      <c r="E466" s="42"/>
    </row>
    <row r="467" ht="15.75" customHeight="1">
      <c r="D467" s="42"/>
      <c r="E467" s="42"/>
    </row>
    <row r="468" ht="15.75" customHeight="1">
      <c r="D468" s="42"/>
      <c r="E468" s="42"/>
    </row>
    <row r="469" ht="15.75" customHeight="1">
      <c r="D469" s="42"/>
      <c r="E469" s="42"/>
    </row>
    <row r="470" ht="15.75" customHeight="1">
      <c r="D470" s="42"/>
      <c r="E470" s="42"/>
    </row>
    <row r="471" ht="15.75" customHeight="1">
      <c r="D471" s="42"/>
      <c r="E471" s="42"/>
    </row>
    <row r="472" ht="15.75" customHeight="1">
      <c r="D472" s="42"/>
      <c r="E472" s="42"/>
    </row>
    <row r="473" ht="15.75" customHeight="1">
      <c r="D473" s="42"/>
      <c r="E473" s="42"/>
    </row>
    <row r="474" ht="15.75" customHeight="1">
      <c r="D474" s="42"/>
      <c r="E474" s="42"/>
    </row>
    <row r="475" ht="15.75" customHeight="1">
      <c r="D475" s="42"/>
      <c r="E475" s="42"/>
    </row>
    <row r="476" ht="15.75" customHeight="1">
      <c r="D476" s="42"/>
      <c r="E476" s="42"/>
    </row>
    <row r="477" ht="15.75" customHeight="1">
      <c r="D477" s="42"/>
      <c r="E477" s="42"/>
    </row>
    <row r="478" ht="15.75" customHeight="1">
      <c r="D478" s="42"/>
      <c r="E478" s="42"/>
    </row>
    <row r="479" ht="15.75" customHeight="1">
      <c r="D479" s="42"/>
      <c r="E479" s="42"/>
    </row>
    <row r="480" ht="15.75" customHeight="1">
      <c r="D480" s="42"/>
      <c r="E480" s="42"/>
    </row>
    <row r="481" ht="15.75" customHeight="1">
      <c r="D481" s="42"/>
      <c r="E481" s="42"/>
    </row>
    <row r="482" ht="15.75" customHeight="1">
      <c r="D482" s="42"/>
      <c r="E482" s="42"/>
    </row>
    <row r="483" ht="15.75" customHeight="1">
      <c r="D483" s="42"/>
      <c r="E483" s="42"/>
    </row>
    <row r="484" ht="15.75" customHeight="1">
      <c r="D484" s="42"/>
      <c r="E484" s="42"/>
    </row>
    <row r="485" ht="15.75" customHeight="1">
      <c r="D485" s="42"/>
      <c r="E485" s="42"/>
    </row>
    <row r="486" ht="15.75" customHeight="1">
      <c r="D486" s="42"/>
      <c r="E486" s="42"/>
    </row>
    <row r="487" ht="15.75" customHeight="1">
      <c r="D487" s="42"/>
      <c r="E487" s="42"/>
    </row>
    <row r="488" ht="15.75" customHeight="1">
      <c r="D488" s="42"/>
      <c r="E488" s="42"/>
    </row>
    <row r="489" ht="15.75" customHeight="1">
      <c r="D489" s="42"/>
      <c r="E489" s="42"/>
    </row>
    <row r="490" ht="15.75" customHeight="1">
      <c r="D490" s="42"/>
      <c r="E490" s="42"/>
    </row>
    <row r="491" ht="15.75" customHeight="1">
      <c r="D491" s="42"/>
      <c r="E491" s="42"/>
    </row>
    <row r="492" ht="15.75" customHeight="1">
      <c r="D492" s="42"/>
      <c r="E492" s="42"/>
    </row>
    <row r="493" ht="15.75" customHeight="1">
      <c r="D493" s="42"/>
      <c r="E493" s="42"/>
    </row>
    <row r="494" ht="15.75" customHeight="1">
      <c r="D494" s="42"/>
      <c r="E494" s="42"/>
    </row>
    <row r="495" ht="15.75" customHeight="1">
      <c r="D495" s="42"/>
      <c r="E495" s="42"/>
    </row>
    <row r="496" ht="15.75" customHeight="1">
      <c r="D496" s="42"/>
      <c r="E496" s="42"/>
    </row>
    <row r="497" ht="15.75" customHeight="1">
      <c r="D497" s="42"/>
      <c r="E497" s="42"/>
    </row>
    <row r="498" ht="15.75" customHeight="1">
      <c r="D498" s="42"/>
      <c r="E498" s="42"/>
    </row>
    <row r="499" ht="15.75" customHeight="1">
      <c r="D499" s="42"/>
      <c r="E499" s="42"/>
    </row>
    <row r="500" ht="15.75" customHeight="1">
      <c r="D500" s="42"/>
      <c r="E500" s="42"/>
    </row>
    <row r="501" ht="15.75" customHeight="1">
      <c r="D501" s="42"/>
      <c r="E501" s="42"/>
    </row>
    <row r="502" ht="15.75" customHeight="1">
      <c r="D502" s="42"/>
      <c r="E502" s="42"/>
    </row>
    <row r="503" ht="15.75" customHeight="1">
      <c r="D503" s="42"/>
      <c r="E503" s="42"/>
    </row>
    <row r="504" ht="15.75" customHeight="1">
      <c r="D504" s="42"/>
      <c r="E504" s="42"/>
    </row>
    <row r="505" ht="15.75" customHeight="1">
      <c r="D505" s="42"/>
      <c r="E505" s="42"/>
    </row>
    <row r="506" ht="15.75" customHeight="1">
      <c r="D506" s="42"/>
      <c r="E506" s="42"/>
    </row>
    <row r="507" ht="15.75" customHeight="1">
      <c r="D507" s="42"/>
      <c r="E507" s="42"/>
    </row>
    <row r="508" ht="15.75" customHeight="1">
      <c r="D508" s="42"/>
      <c r="E508" s="42"/>
    </row>
    <row r="509" ht="15.75" customHeight="1">
      <c r="D509" s="42"/>
      <c r="E509" s="42"/>
    </row>
    <row r="510" ht="15.75" customHeight="1">
      <c r="D510" s="42"/>
      <c r="E510" s="42"/>
    </row>
    <row r="511" ht="15.75" customHeight="1">
      <c r="D511" s="42"/>
      <c r="E511" s="42"/>
    </row>
    <row r="512" ht="15.75" customHeight="1">
      <c r="D512" s="42"/>
      <c r="E512" s="42"/>
    </row>
    <row r="513" ht="15.75" customHeight="1">
      <c r="D513" s="42"/>
      <c r="E513" s="42"/>
    </row>
    <row r="514" ht="15.75" customHeight="1">
      <c r="D514" s="42"/>
      <c r="E514" s="42"/>
    </row>
    <row r="515" ht="15.75" customHeight="1">
      <c r="D515" s="42"/>
      <c r="E515" s="42"/>
    </row>
    <row r="516" ht="15.75" customHeight="1">
      <c r="D516" s="42"/>
      <c r="E516" s="42"/>
    </row>
    <row r="517" ht="15.75" customHeight="1">
      <c r="D517" s="42"/>
      <c r="E517" s="42"/>
    </row>
    <row r="518" ht="15.75" customHeight="1">
      <c r="D518" s="42"/>
      <c r="E518" s="42"/>
    </row>
    <row r="519" ht="15.75" customHeight="1">
      <c r="D519" s="42"/>
      <c r="E519" s="42"/>
    </row>
    <row r="520" ht="15.75" customHeight="1">
      <c r="D520" s="42"/>
      <c r="E520" s="42"/>
    </row>
    <row r="521" ht="15.75" customHeight="1">
      <c r="D521" s="42"/>
      <c r="E521" s="42"/>
    </row>
    <row r="522" ht="15.75" customHeight="1">
      <c r="D522" s="42"/>
      <c r="E522" s="42"/>
    </row>
    <row r="523" ht="15.75" customHeight="1">
      <c r="D523" s="42"/>
      <c r="E523" s="42"/>
    </row>
    <row r="524" ht="15.75" customHeight="1">
      <c r="D524" s="42"/>
      <c r="E524" s="42"/>
    </row>
    <row r="525" ht="15.75" customHeight="1">
      <c r="D525" s="42"/>
      <c r="E525" s="42"/>
    </row>
    <row r="526" ht="15.75" customHeight="1">
      <c r="D526" s="42"/>
      <c r="E526" s="42"/>
    </row>
    <row r="527" ht="15.75" customHeight="1">
      <c r="D527" s="42"/>
      <c r="E527" s="42"/>
    </row>
    <row r="528" ht="15.75" customHeight="1">
      <c r="D528" s="42"/>
      <c r="E528" s="42"/>
    </row>
    <row r="529" ht="15.75" customHeight="1">
      <c r="D529" s="42"/>
      <c r="E529" s="42"/>
    </row>
    <row r="530" ht="15.75" customHeight="1">
      <c r="D530" s="42"/>
      <c r="E530" s="42"/>
    </row>
    <row r="531" ht="15.75" customHeight="1">
      <c r="D531" s="42"/>
      <c r="E531" s="42"/>
    </row>
    <row r="532" ht="15.75" customHeight="1">
      <c r="D532" s="42"/>
      <c r="E532" s="42"/>
    </row>
    <row r="533" ht="15.75" customHeight="1">
      <c r="D533" s="42"/>
      <c r="E533" s="42"/>
    </row>
    <row r="534" ht="15.75" customHeight="1">
      <c r="D534" s="42"/>
      <c r="E534" s="42"/>
    </row>
    <row r="535" ht="15.75" customHeight="1">
      <c r="D535" s="42"/>
      <c r="E535" s="42"/>
    </row>
    <row r="536" ht="15.75" customHeight="1">
      <c r="D536" s="42"/>
      <c r="E536" s="42"/>
    </row>
    <row r="537" ht="15.75" customHeight="1">
      <c r="D537" s="42"/>
      <c r="E537" s="42"/>
    </row>
    <row r="538" ht="15.75" customHeight="1">
      <c r="D538" s="42"/>
      <c r="E538" s="42"/>
    </row>
    <row r="539" ht="15.75" customHeight="1">
      <c r="D539" s="42"/>
      <c r="E539" s="42"/>
    </row>
    <row r="540" ht="15.75" customHeight="1">
      <c r="D540" s="42"/>
      <c r="E540" s="42"/>
    </row>
    <row r="541" ht="15.75" customHeight="1">
      <c r="D541" s="42"/>
      <c r="E541" s="42"/>
    </row>
    <row r="542" ht="15.75" customHeight="1">
      <c r="D542" s="42"/>
      <c r="E542" s="42"/>
    </row>
    <row r="543" ht="15.75" customHeight="1">
      <c r="D543" s="42"/>
      <c r="E543" s="42"/>
    </row>
    <row r="544" ht="15.75" customHeight="1">
      <c r="D544" s="42"/>
      <c r="E544" s="42"/>
    </row>
    <row r="545" ht="15.75" customHeight="1">
      <c r="D545" s="42"/>
      <c r="E545" s="42"/>
    </row>
    <row r="546" ht="15.75" customHeight="1">
      <c r="D546" s="42"/>
      <c r="E546" s="42"/>
    </row>
    <row r="547" ht="15.75" customHeight="1">
      <c r="D547" s="42"/>
      <c r="E547" s="42"/>
    </row>
    <row r="548" ht="15.75" customHeight="1">
      <c r="D548" s="42"/>
      <c r="E548" s="42"/>
    </row>
    <row r="549" ht="15.75" customHeight="1">
      <c r="D549" s="42"/>
      <c r="E549" s="42"/>
    </row>
    <row r="550" ht="15.75" customHeight="1">
      <c r="D550" s="42"/>
      <c r="E550" s="42"/>
    </row>
    <row r="551" ht="15.75" customHeight="1">
      <c r="D551" s="42"/>
      <c r="E551" s="42"/>
    </row>
    <row r="552" ht="15.75" customHeight="1">
      <c r="D552" s="42"/>
      <c r="E552" s="42"/>
    </row>
    <row r="553" ht="15.75" customHeight="1">
      <c r="D553" s="42"/>
      <c r="E553" s="42"/>
    </row>
    <row r="554" ht="15.75" customHeight="1">
      <c r="D554" s="42"/>
      <c r="E554" s="42"/>
    </row>
    <row r="555" ht="15.75" customHeight="1">
      <c r="D555" s="42"/>
      <c r="E555" s="42"/>
    </row>
    <row r="556" ht="15.75" customHeight="1">
      <c r="D556" s="42"/>
      <c r="E556" s="42"/>
    </row>
    <row r="557" ht="15.75" customHeight="1">
      <c r="D557" s="42"/>
      <c r="E557" s="42"/>
    </row>
    <row r="558" ht="15.75" customHeight="1">
      <c r="D558" s="42"/>
      <c r="E558" s="42"/>
    </row>
    <row r="559" ht="15.75" customHeight="1">
      <c r="D559" s="42"/>
      <c r="E559" s="42"/>
    </row>
    <row r="560" ht="15.75" customHeight="1">
      <c r="D560" s="42"/>
      <c r="E560" s="42"/>
    </row>
    <row r="561" ht="15.75" customHeight="1">
      <c r="D561" s="42"/>
      <c r="E561" s="42"/>
    </row>
    <row r="562" ht="15.75" customHeight="1">
      <c r="D562" s="42"/>
      <c r="E562" s="42"/>
    </row>
    <row r="563" ht="15.75" customHeight="1">
      <c r="D563" s="42"/>
      <c r="E563" s="42"/>
    </row>
    <row r="564" ht="15.75" customHeight="1">
      <c r="D564" s="42"/>
      <c r="E564" s="42"/>
    </row>
    <row r="565" ht="15.75" customHeight="1">
      <c r="D565" s="42"/>
      <c r="E565" s="42"/>
    </row>
    <row r="566" ht="15.75" customHeight="1">
      <c r="D566" s="42"/>
      <c r="E566" s="42"/>
    </row>
    <row r="567" ht="15.75" customHeight="1">
      <c r="D567" s="42"/>
      <c r="E567" s="42"/>
    </row>
    <row r="568" ht="15.75" customHeight="1">
      <c r="D568" s="42"/>
      <c r="E568" s="42"/>
    </row>
    <row r="569" ht="15.75" customHeight="1">
      <c r="D569" s="42"/>
      <c r="E569" s="42"/>
    </row>
    <row r="570" ht="15.75" customHeight="1">
      <c r="D570" s="42"/>
      <c r="E570" s="42"/>
    </row>
    <row r="571" ht="15.75" customHeight="1">
      <c r="D571" s="42"/>
      <c r="E571" s="42"/>
    </row>
    <row r="572" ht="15.75" customHeight="1">
      <c r="D572" s="42"/>
      <c r="E572" s="42"/>
    </row>
    <row r="573" ht="15.75" customHeight="1">
      <c r="D573" s="42"/>
      <c r="E573" s="42"/>
    </row>
    <row r="574" ht="15.75" customHeight="1">
      <c r="D574" s="42"/>
      <c r="E574" s="42"/>
    </row>
    <row r="575" ht="15.75" customHeight="1">
      <c r="D575" s="42"/>
      <c r="E575" s="42"/>
    </row>
    <row r="576" ht="15.75" customHeight="1">
      <c r="D576" s="42"/>
      <c r="E576" s="42"/>
    </row>
    <row r="577" ht="15.75" customHeight="1">
      <c r="D577" s="42"/>
      <c r="E577" s="42"/>
    </row>
    <row r="578" ht="15.75" customHeight="1">
      <c r="D578" s="42"/>
      <c r="E578" s="42"/>
    </row>
    <row r="579" ht="15.75" customHeight="1">
      <c r="D579" s="42"/>
      <c r="E579" s="42"/>
    </row>
    <row r="580" ht="15.75" customHeight="1">
      <c r="D580" s="42"/>
      <c r="E580" s="42"/>
    </row>
    <row r="581" ht="15.75" customHeight="1">
      <c r="D581" s="42"/>
      <c r="E581" s="42"/>
    </row>
    <row r="582" ht="15.75" customHeight="1">
      <c r="D582" s="42"/>
      <c r="E582" s="42"/>
    </row>
    <row r="583" ht="15.75" customHeight="1">
      <c r="D583" s="42"/>
      <c r="E583" s="42"/>
    </row>
    <row r="584" ht="15.75" customHeight="1">
      <c r="D584" s="42"/>
      <c r="E584" s="42"/>
    </row>
    <row r="585" ht="15.75" customHeight="1">
      <c r="D585" s="42"/>
      <c r="E585" s="42"/>
    </row>
    <row r="586" ht="15.75" customHeight="1">
      <c r="D586" s="42"/>
      <c r="E586" s="42"/>
    </row>
    <row r="587" ht="15.75" customHeight="1">
      <c r="D587" s="42"/>
      <c r="E587" s="42"/>
    </row>
    <row r="588" ht="15.75" customHeight="1">
      <c r="D588" s="42"/>
      <c r="E588" s="42"/>
    </row>
    <row r="589" ht="15.75" customHeight="1">
      <c r="D589" s="42"/>
      <c r="E589" s="42"/>
    </row>
    <row r="590" ht="15.75" customHeight="1">
      <c r="D590" s="42"/>
      <c r="E590" s="42"/>
    </row>
    <row r="591" ht="15.75" customHeight="1">
      <c r="D591" s="42"/>
      <c r="E591" s="42"/>
    </row>
    <row r="592" ht="15.75" customHeight="1">
      <c r="D592" s="42"/>
      <c r="E592" s="42"/>
    </row>
    <row r="593" ht="15.75" customHeight="1">
      <c r="D593" s="42"/>
      <c r="E593" s="42"/>
    </row>
    <row r="594" ht="15.75" customHeight="1">
      <c r="D594" s="42"/>
      <c r="E594" s="42"/>
    </row>
    <row r="595" ht="15.75" customHeight="1">
      <c r="D595" s="42"/>
      <c r="E595" s="42"/>
    </row>
    <row r="596" ht="15.75" customHeight="1">
      <c r="D596" s="42"/>
      <c r="E596" s="42"/>
    </row>
    <row r="597" ht="15.75" customHeight="1">
      <c r="D597" s="42"/>
      <c r="E597" s="42"/>
    </row>
    <row r="598" ht="15.75" customHeight="1">
      <c r="D598" s="42"/>
      <c r="E598" s="42"/>
    </row>
    <row r="599" ht="15.75" customHeight="1">
      <c r="D599" s="42"/>
      <c r="E599" s="42"/>
    </row>
    <row r="600" ht="15.75" customHeight="1">
      <c r="D600" s="42"/>
      <c r="E600" s="42"/>
    </row>
    <row r="601" ht="15.75" customHeight="1">
      <c r="D601" s="42"/>
      <c r="E601" s="42"/>
    </row>
    <row r="602" ht="15.75" customHeight="1">
      <c r="D602" s="42"/>
      <c r="E602" s="42"/>
    </row>
    <row r="603" ht="15.75" customHeight="1">
      <c r="D603" s="42"/>
      <c r="E603" s="42"/>
    </row>
    <row r="604" ht="15.75" customHeight="1">
      <c r="D604" s="42"/>
      <c r="E604" s="42"/>
    </row>
    <row r="605" ht="15.75" customHeight="1">
      <c r="D605" s="42"/>
      <c r="E605" s="42"/>
    </row>
    <row r="606" ht="15.75" customHeight="1">
      <c r="D606" s="42"/>
      <c r="E606" s="42"/>
    </row>
    <row r="607" ht="15.75" customHeight="1">
      <c r="D607" s="42"/>
      <c r="E607" s="42"/>
    </row>
    <row r="608" ht="15.75" customHeight="1">
      <c r="D608" s="42"/>
      <c r="E608" s="42"/>
    </row>
    <row r="609" ht="15.75" customHeight="1">
      <c r="D609" s="42"/>
      <c r="E609" s="42"/>
    </row>
    <row r="610" ht="15.75" customHeight="1">
      <c r="D610" s="42"/>
      <c r="E610" s="42"/>
    </row>
    <row r="611" ht="15.75" customHeight="1">
      <c r="D611" s="42"/>
      <c r="E611" s="42"/>
    </row>
    <row r="612" ht="15.75" customHeight="1">
      <c r="D612" s="42"/>
      <c r="E612" s="42"/>
    </row>
    <row r="613" ht="15.75" customHeight="1">
      <c r="D613" s="42"/>
      <c r="E613" s="42"/>
    </row>
    <row r="614" ht="15.75" customHeight="1">
      <c r="D614" s="42"/>
      <c r="E614" s="42"/>
    </row>
    <row r="615" ht="15.75" customHeight="1">
      <c r="D615" s="42"/>
      <c r="E615" s="42"/>
    </row>
    <row r="616" ht="15.75" customHeight="1">
      <c r="D616" s="42"/>
      <c r="E616" s="42"/>
    </row>
    <row r="617" ht="15.75" customHeight="1">
      <c r="D617" s="42"/>
      <c r="E617" s="42"/>
    </row>
    <row r="618" ht="15.75" customHeight="1">
      <c r="D618" s="42"/>
      <c r="E618" s="42"/>
    </row>
    <row r="619" ht="15.75" customHeight="1">
      <c r="D619" s="42"/>
      <c r="E619" s="42"/>
    </row>
    <row r="620" ht="15.75" customHeight="1">
      <c r="D620" s="42"/>
      <c r="E620" s="42"/>
    </row>
    <row r="621" ht="15.75" customHeight="1">
      <c r="D621" s="42"/>
      <c r="E621" s="42"/>
    </row>
    <row r="622" ht="15.75" customHeight="1">
      <c r="D622" s="42"/>
      <c r="E622" s="42"/>
    </row>
    <row r="623" ht="15.75" customHeight="1">
      <c r="D623" s="42"/>
      <c r="E623" s="42"/>
    </row>
    <row r="624" ht="15.75" customHeight="1">
      <c r="D624" s="42"/>
      <c r="E624" s="42"/>
    </row>
    <row r="625" ht="15.75" customHeight="1">
      <c r="D625" s="42"/>
      <c r="E625" s="42"/>
    </row>
    <row r="626" ht="15.75" customHeight="1">
      <c r="D626" s="42"/>
      <c r="E626" s="42"/>
    </row>
    <row r="627" ht="15.75" customHeight="1">
      <c r="D627" s="42"/>
      <c r="E627" s="42"/>
    </row>
    <row r="628" ht="15.75" customHeight="1">
      <c r="D628" s="42"/>
      <c r="E628" s="42"/>
    </row>
    <row r="629" ht="15.75" customHeight="1">
      <c r="D629" s="42"/>
      <c r="E629" s="42"/>
    </row>
    <row r="630" ht="15.75" customHeight="1">
      <c r="D630" s="42"/>
      <c r="E630" s="42"/>
    </row>
    <row r="631" ht="15.75" customHeight="1">
      <c r="D631" s="42"/>
      <c r="E631" s="42"/>
    </row>
    <row r="632" ht="15.75" customHeight="1">
      <c r="D632" s="42"/>
      <c r="E632" s="42"/>
    </row>
    <row r="633" ht="15.75" customHeight="1">
      <c r="D633" s="42"/>
      <c r="E633" s="42"/>
    </row>
    <row r="634" ht="15.75" customHeight="1">
      <c r="D634" s="42"/>
      <c r="E634" s="42"/>
    </row>
    <row r="635" ht="15.75" customHeight="1">
      <c r="D635" s="42"/>
      <c r="E635" s="42"/>
    </row>
    <row r="636" ht="15.75" customHeight="1">
      <c r="D636" s="42"/>
      <c r="E636" s="42"/>
    </row>
    <row r="637" ht="15.75" customHeight="1">
      <c r="D637" s="42"/>
      <c r="E637" s="42"/>
    </row>
    <row r="638" ht="15.75" customHeight="1">
      <c r="D638" s="42"/>
      <c r="E638" s="42"/>
    </row>
    <row r="639" ht="15.75" customHeight="1">
      <c r="D639" s="42"/>
      <c r="E639" s="42"/>
    </row>
    <row r="640" ht="15.75" customHeight="1">
      <c r="D640" s="42"/>
      <c r="E640" s="42"/>
    </row>
    <row r="641" ht="15.75" customHeight="1">
      <c r="D641" s="42"/>
      <c r="E641" s="42"/>
    </row>
    <row r="642" ht="15.75" customHeight="1">
      <c r="D642" s="42"/>
      <c r="E642" s="42"/>
    </row>
    <row r="643" ht="15.75" customHeight="1">
      <c r="D643" s="42"/>
      <c r="E643" s="42"/>
    </row>
    <row r="644" ht="15.75" customHeight="1">
      <c r="D644" s="42"/>
      <c r="E644" s="42"/>
    </row>
    <row r="645" ht="15.75" customHeight="1">
      <c r="D645" s="42"/>
      <c r="E645" s="42"/>
    </row>
    <row r="646" ht="15.75" customHeight="1">
      <c r="D646" s="42"/>
      <c r="E646" s="42"/>
    </row>
    <row r="647" ht="15.75" customHeight="1">
      <c r="D647" s="42"/>
      <c r="E647" s="42"/>
    </row>
    <row r="648" ht="15.75" customHeight="1">
      <c r="D648" s="42"/>
      <c r="E648" s="42"/>
    </row>
    <row r="649" ht="15.75" customHeight="1">
      <c r="D649" s="42"/>
      <c r="E649" s="42"/>
    </row>
    <row r="650" ht="15.75" customHeight="1">
      <c r="D650" s="42"/>
      <c r="E650" s="42"/>
    </row>
    <row r="651" ht="15.75" customHeight="1">
      <c r="D651" s="42"/>
      <c r="E651" s="42"/>
    </row>
    <row r="652" ht="15.75" customHeight="1">
      <c r="D652" s="42"/>
      <c r="E652" s="42"/>
    </row>
    <row r="653" ht="15.75" customHeight="1">
      <c r="D653" s="42"/>
      <c r="E653" s="42"/>
    </row>
    <row r="654" ht="15.75" customHeight="1">
      <c r="D654" s="42"/>
      <c r="E654" s="42"/>
    </row>
    <row r="655" ht="15.75" customHeight="1">
      <c r="D655" s="42"/>
      <c r="E655" s="42"/>
    </row>
    <row r="656" ht="15.75" customHeight="1">
      <c r="D656" s="42"/>
      <c r="E656" s="42"/>
    </row>
    <row r="657" ht="15.75" customHeight="1">
      <c r="D657" s="42"/>
      <c r="E657" s="42"/>
    </row>
    <row r="658" ht="15.75" customHeight="1">
      <c r="D658" s="42"/>
      <c r="E658" s="42"/>
    </row>
    <row r="659" ht="15.75" customHeight="1">
      <c r="D659" s="42"/>
      <c r="E659" s="42"/>
    </row>
    <row r="660" ht="15.75" customHeight="1">
      <c r="D660" s="42"/>
      <c r="E660" s="42"/>
    </row>
    <row r="661" ht="15.75" customHeight="1">
      <c r="D661" s="42"/>
      <c r="E661" s="42"/>
    </row>
    <row r="662" ht="15.75" customHeight="1">
      <c r="D662" s="42"/>
      <c r="E662" s="42"/>
    </row>
    <row r="663" ht="15.75" customHeight="1">
      <c r="D663" s="42"/>
      <c r="E663" s="42"/>
    </row>
    <row r="664" ht="15.75" customHeight="1">
      <c r="D664" s="42"/>
      <c r="E664" s="42"/>
    </row>
    <row r="665" ht="15.75" customHeight="1">
      <c r="D665" s="42"/>
      <c r="E665" s="42"/>
    </row>
    <row r="666" ht="15.75" customHeight="1">
      <c r="D666" s="42"/>
      <c r="E666" s="42"/>
    </row>
    <row r="667" ht="15.75" customHeight="1">
      <c r="D667" s="42"/>
      <c r="E667" s="42"/>
    </row>
    <row r="668" ht="15.75" customHeight="1">
      <c r="D668" s="42"/>
      <c r="E668" s="42"/>
    </row>
    <row r="669" ht="15.75" customHeight="1">
      <c r="D669" s="42"/>
      <c r="E669" s="42"/>
    </row>
    <row r="670" ht="15.75" customHeight="1">
      <c r="D670" s="42"/>
      <c r="E670" s="42"/>
    </row>
    <row r="671" ht="15.75" customHeight="1">
      <c r="D671" s="42"/>
      <c r="E671" s="42"/>
    </row>
    <row r="672" ht="15.75" customHeight="1">
      <c r="D672" s="42"/>
      <c r="E672" s="42"/>
    </row>
    <row r="673" ht="15.75" customHeight="1">
      <c r="D673" s="42"/>
      <c r="E673" s="42"/>
    </row>
    <row r="674" ht="15.75" customHeight="1">
      <c r="D674" s="42"/>
      <c r="E674" s="42"/>
    </row>
    <row r="675" ht="15.75" customHeight="1">
      <c r="D675" s="42"/>
      <c r="E675" s="42"/>
    </row>
    <row r="676" ht="15.75" customHeight="1">
      <c r="D676" s="42"/>
      <c r="E676" s="42"/>
    </row>
    <row r="677" ht="15.75" customHeight="1">
      <c r="D677" s="42"/>
      <c r="E677" s="42"/>
    </row>
    <row r="678" ht="15.75" customHeight="1">
      <c r="D678" s="42"/>
      <c r="E678" s="42"/>
    </row>
    <row r="679" ht="15.75" customHeight="1">
      <c r="D679" s="42"/>
      <c r="E679" s="42"/>
    </row>
    <row r="680" ht="15.75" customHeight="1">
      <c r="D680" s="42"/>
      <c r="E680" s="42"/>
    </row>
    <row r="681" ht="15.75" customHeight="1">
      <c r="D681" s="42"/>
      <c r="E681" s="42"/>
    </row>
    <row r="682" ht="15.75" customHeight="1">
      <c r="D682" s="42"/>
      <c r="E682" s="42"/>
    </row>
    <row r="683" ht="15.75" customHeight="1">
      <c r="D683" s="42"/>
      <c r="E683" s="42"/>
    </row>
    <row r="684" ht="15.75" customHeight="1">
      <c r="D684" s="42"/>
      <c r="E684" s="42"/>
    </row>
    <row r="685" ht="15.75" customHeight="1">
      <c r="D685" s="42"/>
      <c r="E685" s="42"/>
    </row>
    <row r="686" ht="15.75" customHeight="1">
      <c r="D686" s="42"/>
      <c r="E686" s="42"/>
    </row>
    <row r="687" ht="15.75" customHeight="1">
      <c r="D687" s="42"/>
      <c r="E687" s="42"/>
    </row>
    <row r="688" ht="15.75" customHeight="1">
      <c r="D688" s="42"/>
      <c r="E688" s="42"/>
    </row>
    <row r="689" ht="15.75" customHeight="1">
      <c r="D689" s="42"/>
      <c r="E689" s="42"/>
    </row>
    <row r="690" ht="15.75" customHeight="1">
      <c r="D690" s="42"/>
      <c r="E690" s="42"/>
    </row>
    <row r="691" ht="15.75" customHeight="1">
      <c r="D691" s="42"/>
      <c r="E691" s="42"/>
    </row>
    <row r="692" ht="15.75" customHeight="1">
      <c r="D692" s="42"/>
      <c r="E692" s="42"/>
    </row>
    <row r="693" ht="15.75" customHeight="1">
      <c r="D693" s="42"/>
      <c r="E693" s="42"/>
    </row>
    <row r="694" ht="15.75" customHeight="1">
      <c r="D694" s="42"/>
      <c r="E694" s="42"/>
    </row>
    <row r="695" ht="15.75" customHeight="1">
      <c r="D695" s="42"/>
      <c r="E695" s="42"/>
    </row>
    <row r="696" ht="15.75" customHeight="1">
      <c r="D696" s="42"/>
      <c r="E696" s="42"/>
    </row>
    <row r="697" ht="15.75" customHeight="1">
      <c r="D697" s="42"/>
      <c r="E697" s="42"/>
    </row>
    <row r="698" ht="15.75" customHeight="1">
      <c r="D698" s="42"/>
      <c r="E698" s="42"/>
    </row>
    <row r="699" ht="15.75" customHeight="1">
      <c r="D699" s="42"/>
      <c r="E699" s="42"/>
    </row>
    <row r="700" ht="15.75" customHeight="1">
      <c r="D700" s="42"/>
      <c r="E700" s="42"/>
    </row>
    <row r="701" ht="15.75" customHeight="1">
      <c r="D701" s="42"/>
      <c r="E701" s="42"/>
    </row>
    <row r="702" ht="15.75" customHeight="1">
      <c r="D702" s="42"/>
      <c r="E702" s="42"/>
    </row>
    <row r="703" ht="15.75" customHeight="1">
      <c r="D703" s="42"/>
      <c r="E703" s="42"/>
    </row>
    <row r="704" ht="15.75" customHeight="1">
      <c r="D704" s="42"/>
      <c r="E704" s="42"/>
    </row>
    <row r="705" ht="15.75" customHeight="1">
      <c r="D705" s="42"/>
      <c r="E705" s="42"/>
    </row>
    <row r="706" ht="15.75" customHeight="1">
      <c r="D706" s="42"/>
      <c r="E706" s="42"/>
    </row>
    <row r="707" ht="15.75" customHeight="1">
      <c r="D707" s="42"/>
      <c r="E707" s="42"/>
    </row>
    <row r="708" ht="15.75" customHeight="1">
      <c r="D708" s="42"/>
      <c r="E708" s="42"/>
    </row>
    <row r="709" ht="15.75" customHeight="1">
      <c r="D709" s="42"/>
      <c r="E709" s="42"/>
    </row>
    <row r="710" ht="15.75" customHeight="1">
      <c r="D710" s="42"/>
      <c r="E710" s="42"/>
    </row>
    <row r="711" ht="15.75" customHeight="1">
      <c r="D711" s="42"/>
      <c r="E711" s="42"/>
    </row>
    <row r="712" ht="15.75" customHeight="1">
      <c r="D712" s="42"/>
      <c r="E712" s="42"/>
    </row>
    <row r="713" ht="15.75" customHeight="1">
      <c r="D713" s="42"/>
      <c r="E713" s="42"/>
    </row>
    <row r="714" ht="15.75" customHeight="1">
      <c r="D714" s="42"/>
      <c r="E714" s="42"/>
    </row>
    <row r="715" ht="15.75" customHeight="1">
      <c r="D715" s="42"/>
      <c r="E715" s="42"/>
    </row>
    <row r="716" ht="15.75" customHeight="1">
      <c r="D716" s="42"/>
      <c r="E716" s="42"/>
    </row>
    <row r="717" ht="15.75" customHeight="1">
      <c r="D717" s="42"/>
      <c r="E717" s="42"/>
    </row>
    <row r="718" ht="15.75" customHeight="1">
      <c r="D718" s="42"/>
      <c r="E718" s="42"/>
    </row>
    <row r="719" ht="15.75" customHeight="1">
      <c r="D719" s="42"/>
      <c r="E719" s="42"/>
    </row>
    <row r="720" ht="15.75" customHeight="1">
      <c r="D720" s="42"/>
      <c r="E720" s="42"/>
    </row>
    <row r="721" ht="15.75" customHeight="1">
      <c r="D721" s="42"/>
      <c r="E721" s="42"/>
    </row>
    <row r="722" ht="15.75" customHeight="1">
      <c r="D722" s="42"/>
      <c r="E722" s="42"/>
    </row>
    <row r="723" ht="15.75" customHeight="1">
      <c r="D723" s="42"/>
      <c r="E723" s="42"/>
    </row>
    <row r="724" ht="15.75" customHeight="1">
      <c r="D724" s="42"/>
      <c r="E724" s="42"/>
    </row>
    <row r="725" ht="15.75" customHeight="1">
      <c r="D725" s="42"/>
      <c r="E725" s="42"/>
    </row>
    <row r="726" ht="15.75" customHeight="1">
      <c r="D726" s="42"/>
      <c r="E726" s="42"/>
    </row>
    <row r="727" ht="15.75" customHeight="1">
      <c r="D727" s="42"/>
      <c r="E727" s="42"/>
    </row>
    <row r="728" ht="15.75" customHeight="1">
      <c r="D728" s="42"/>
      <c r="E728" s="42"/>
    </row>
    <row r="729" ht="15.75" customHeight="1">
      <c r="D729" s="42"/>
      <c r="E729" s="42"/>
    </row>
    <row r="730" ht="15.75" customHeight="1">
      <c r="D730" s="42"/>
      <c r="E730" s="42"/>
    </row>
    <row r="731" ht="15.75" customHeight="1">
      <c r="D731" s="42"/>
      <c r="E731" s="42"/>
    </row>
    <row r="732" ht="15.75" customHeight="1">
      <c r="D732" s="42"/>
      <c r="E732" s="42"/>
    </row>
    <row r="733" ht="15.75" customHeight="1">
      <c r="D733" s="42"/>
      <c r="E733" s="42"/>
    </row>
    <row r="734" ht="15.75" customHeight="1">
      <c r="D734" s="42"/>
      <c r="E734" s="42"/>
    </row>
    <row r="735" ht="15.75" customHeight="1">
      <c r="D735" s="42"/>
      <c r="E735" s="42"/>
    </row>
    <row r="736" ht="15.75" customHeight="1">
      <c r="D736" s="42"/>
      <c r="E736" s="42"/>
    </row>
    <row r="737" ht="15.75" customHeight="1">
      <c r="D737" s="42"/>
      <c r="E737" s="42"/>
    </row>
    <row r="738" ht="15.75" customHeight="1">
      <c r="D738" s="42"/>
      <c r="E738" s="42"/>
    </row>
    <row r="739" ht="15.75" customHeight="1">
      <c r="D739" s="42"/>
      <c r="E739" s="42"/>
    </row>
    <row r="740" ht="15.75" customHeight="1">
      <c r="D740" s="42"/>
      <c r="E740" s="42"/>
    </row>
    <row r="741" ht="15.75" customHeight="1">
      <c r="D741" s="42"/>
      <c r="E741" s="42"/>
    </row>
    <row r="742" ht="15.75" customHeight="1">
      <c r="D742" s="42"/>
      <c r="E742" s="42"/>
    </row>
    <row r="743" ht="15.75" customHeight="1">
      <c r="D743" s="42"/>
      <c r="E743" s="42"/>
    </row>
    <row r="744" ht="15.75" customHeight="1">
      <c r="D744" s="42"/>
      <c r="E744" s="42"/>
    </row>
    <row r="745" ht="15.75" customHeight="1">
      <c r="D745" s="42"/>
      <c r="E745" s="42"/>
    </row>
    <row r="746" ht="15.75" customHeight="1">
      <c r="D746" s="42"/>
      <c r="E746" s="42"/>
    </row>
    <row r="747" ht="15.75" customHeight="1">
      <c r="D747" s="42"/>
      <c r="E747" s="42"/>
    </row>
    <row r="748" ht="15.75" customHeight="1">
      <c r="D748" s="42"/>
      <c r="E748" s="42"/>
    </row>
    <row r="749" ht="15.75" customHeight="1">
      <c r="D749" s="42"/>
      <c r="E749" s="42"/>
    </row>
    <row r="750" ht="15.75" customHeight="1">
      <c r="D750" s="42"/>
      <c r="E750" s="42"/>
    </row>
    <row r="751" ht="15.75" customHeight="1">
      <c r="D751" s="42"/>
      <c r="E751" s="42"/>
    </row>
    <row r="752" ht="15.75" customHeight="1">
      <c r="D752" s="42"/>
      <c r="E752" s="42"/>
    </row>
    <row r="753" ht="15.75" customHeight="1">
      <c r="D753" s="42"/>
      <c r="E753" s="42"/>
    </row>
    <row r="754" ht="15.75" customHeight="1">
      <c r="D754" s="42"/>
      <c r="E754" s="42"/>
    </row>
    <row r="755" ht="15.75" customHeight="1">
      <c r="D755" s="42"/>
      <c r="E755" s="42"/>
    </row>
    <row r="756" ht="15.75" customHeight="1">
      <c r="D756" s="42"/>
      <c r="E756" s="42"/>
    </row>
    <row r="757" ht="15.75" customHeight="1">
      <c r="D757" s="42"/>
      <c r="E757" s="42"/>
    </row>
    <row r="758" ht="15.75" customHeight="1">
      <c r="D758" s="42"/>
      <c r="E758" s="42"/>
    </row>
    <row r="759" ht="15.75" customHeight="1">
      <c r="D759" s="42"/>
      <c r="E759" s="42"/>
    </row>
    <row r="760" ht="15.75" customHeight="1">
      <c r="D760" s="42"/>
      <c r="E760" s="42"/>
    </row>
    <row r="761" ht="15.75" customHeight="1">
      <c r="D761" s="42"/>
      <c r="E761" s="42"/>
    </row>
    <row r="762" ht="15.75" customHeight="1">
      <c r="D762" s="42"/>
      <c r="E762" s="42"/>
    </row>
    <row r="763" ht="15.75" customHeight="1">
      <c r="D763" s="42"/>
      <c r="E763" s="42"/>
    </row>
    <row r="764" ht="15.75" customHeight="1">
      <c r="D764" s="42"/>
      <c r="E764" s="42"/>
    </row>
    <row r="765" ht="15.75" customHeight="1">
      <c r="D765" s="42"/>
      <c r="E765" s="42"/>
    </row>
    <row r="766" ht="15.75" customHeight="1">
      <c r="D766" s="42"/>
      <c r="E766" s="42"/>
    </row>
    <row r="767" ht="15.75" customHeight="1">
      <c r="D767" s="42"/>
      <c r="E767" s="42"/>
    </row>
    <row r="768" ht="15.75" customHeight="1">
      <c r="D768" s="42"/>
      <c r="E768" s="42"/>
    </row>
    <row r="769" ht="15.75" customHeight="1">
      <c r="D769" s="42"/>
      <c r="E769" s="42"/>
    </row>
    <row r="770" ht="15.75" customHeight="1">
      <c r="D770" s="42"/>
      <c r="E770" s="42"/>
    </row>
    <row r="771" ht="15.75" customHeight="1">
      <c r="D771" s="42"/>
      <c r="E771" s="42"/>
    </row>
    <row r="772" ht="15.75" customHeight="1">
      <c r="D772" s="42"/>
      <c r="E772" s="42"/>
    </row>
    <row r="773" ht="15.75" customHeight="1">
      <c r="D773" s="42"/>
      <c r="E773" s="42"/>
    </row>
    <row r="774" ht="15.75" customHeight="1">
      <c r="D774" s="42"/>
      <c r="E774" s="42"/>
    </row>
    <row r="775" ht="15.75" customHeight="1">
      <c r="D775" s="42"/>
      <c r="E775" s="42"/>
    </row>
    <row r="776" ht="15.75" customHeight="1">
      <c r="D776" s="42"/>
      <c r="E776" s="42"/>
    </row>
    <row r="777" ht="15.75" customHeight="1">
      <c r="D777" s="42"/>
      <c r="E777" s="42"/>
    </row>
    <row r="778" ht="15.75" customHeight="1">
      <c r="D778" s="42"/>
      <c r="E778" s="42"/>
    </row>
    <row r="779" ht="15.75" customHeight="1">
      <c r="D779" s="42"/>
      <c r="E779" s="42"/>
    </row>
    <row r="780" ht="15.75" customHeight="1">
      <c r="D780" s="42"/>
      <c r="E780" s="42"/>
    </row>
    <row r="781" ht="15.75" customHeight="1">
      <c r="D781" s="42"/>
      <c r="E781" s="42"/>
    </row>
    <row r="782" ht="15.75" customHeight="1">
      <c r="D782" s="42"/>
      <c r="E782" s="42"/>
    </row>
    <row r="783" ht="15.75" customHeight="1">
      <c r="D783" s="42"/>
      <c r="E783" s="42"/>
    </row>
    <row r="784" ht="15.75" customHeight="1">
      <c r="D784" s="42"/>
      <c r="E784" s="42"/>
    </row>
    <row r="785" ht="15.75" customHeight="1">
      <c r="D785" s="42"/>
      <c r="E785" s="42"/>
    </row>
    <row r="786" ht="15.75" customHeight="1">
      <c r="D786" s="42"/>
      <c r="E786" s="42"/>
    </row>
    <row r="787" ht="15.75" customHeight="1">
      <c r="D787" s="42"/>
      <c r="E787" s="42"/>
    </row>
    <row r="788" ht="15.75" customHeight="1">
      <c r="D788" s="42"/>
      <c r="E788" s="42"/>
    </row>
    <row r="789" ht="15.75" customHeight="1">
      <c r="D789" s="42"/>
      <c r="E789" s="42"/>
    </row>
    <row r="790" ht="15.75" customHeight="1">
      <c r="D790" s="42"/>
      <c r="E790" s="42"/>
    </row>
    <row r="791" ht="15.75" customHeight="1">
      <c r="D791" s="42"/>
      <c r="E791" s="42"/>
    </row>
    <row r="792" ht="15.75" customHeight="1">
      <c r="D792" s="42"/>
      <c r="E792" s="42"/>
    </row>
    <row r="793" ht="15.75" customHeight="1">
      <c r="D793" s="42"/>
      <c r="E793" s="42"/>
    </row>
    <row r="794" ht="15.75" customHeight="1">
      <c r="D794" s="42"/>
      <c r="E794" s="42"/>
    </row>
    <row r="795" ht="15.75" customHeight="1">
      <c r="D795" s="42"/>
      <c r="E795" s="42"/>
    </row>
    <row r="796" ht="15.75" customHeight="1">
      <c r="D796" s="42"/>
      <c r="E796" s="42"/>
    </row>
    <row r="797" ht="15.75" customHeight="1">
      <c r="D797" s="42"/>
      <c r="E797" s="42"/>
    </row>
    <row r="798" ht="15.75" customHeight="1">
      <c r="D798" s="42"/>
      <c r="E798" s="42"/>
    </row>
    <row r="799" ht="15.75" customHeight="1">
      <c r="D799" s="42"/>
      <c r="E799" s="42"/>
    </row>
    <row r="800" ht="15.75" customHeight="1">
      <c r="D800" s="42"/>
      <c r="E800" s="42"/>
    </row>
    <row r="801" ht="15.75" customHeight="1">
      <c r="D801" s="42"/>
      <c r="E801" s="42"/>
    </row>
    <row r="802" ht="15.75" customHeight="1">
      <c r="D802" s="42"/>
      <c r="E802" s="42"/>
    </row>
    <row r="803" ht="15.75" customHeight="1">
      <c r="D803" s="42"/>
      <c r="E803" s="42"/>
    </row>
    <row r="804" ht="15.75" customHeight="1">
      <c r="D804" s="42"/>
      <c r="E804" s="42"/>
    </row>
    <row r="805" ht="15.75" customHeight="1">
      <c r="D805" s="42"/>
      <c r="E805" s="42"/>
    </row>
    <row r="806" ht="15.75" customHeight="1">
      <c r="D806" s="42"/>
      <c r="E806" s="42"/>
    </row>
    <row r="807" ht="15.75" customHeight="1">
      <c r="D807" s="42"/>
      <c r="E807" s="42"/>
    </row>
    <row r="808" ht="15.75" customHeight="1">
      <c r="D808" s="42"/>
      <c r="E808" s="42"/>
    </row>
    <row r="809" ht="15.75" customHeight="1">
      <c r="D809" s="42"/>
      <c r="E809" s="42"/>
    </row>
    <row r="810" ht="15.75" customHeight="1">
      <c r="D810" s="42"/>
      <c r="E810" s="42"/>
    </row>
    <row r="811" ht="15.75" customHeight="1">
      <c r="D811" s="42"/>
      <c r="E811" s="42"/>
    </row>
    <row r="812" ht="15.75" customHeight="1">
      <c r="D812" s="42"/>
      <c r="E812" s="42"/>
    </row>
    <row r="813" ht="15.75" customHeight="1">
      <c r="D813" s="42"/>
      <c r="E813" s="42"/>
    </row>
    <row r="814" ht="15.75" customHeight="1">
      <c r="D814" s="42"/>
      <c r="E814" s="42"/>
    </row>
    <row r="815" ht="15.75" customHeight="1">
      <c r="D815" s="42"/>
      <c r="E815" s="42"/>
    </row>
    <row r="816" ht="15.75" customHeight="1">
      <c r="D816" s="42"/>
      <c r="E816" s="42"/>
    </row>
    <row r="817" ht="15.75" customHeight="1">
      <c r="D817" s="42"/>
      <c r="E817" s="42"/>
    </row>
    <row r="818" ht="15.75" customHeight="1">
      <c r="D818" s="42"/>
      <c r="E818" s="42"/>
    </row>
    <row r="819" ht="15.75" customHeight="1">
      <c r="D819" s="42"/>
      <c r="E819" s="42"/>
    </row>
    <row r="820" ht="15.75" customHeight="1">
      <c r="D820" s="42"/>
      <c r="E820" s="42"/>
    </row>
    <row r="821" ht="15.75" customHeight="1">
      <c r="D821" s="42"/>
      <c r="E821" s="42"/>
    </row>
    <row r="822" ht="15.75" customHeight="1">
      <c r="D822" s="42"/>
      <c r="E822" s="42"/>
    </row>
    <row r="823" ht="15.75" customHeight="1">
      <c r="D823" s="42"/>
      <c r="E823" s="42"/>
    </row>
    <row r="824" ht="15.75" customHeight="1">
      <c r="D824" s="42"/>
      <c r="E824" s="42"/>
    </row>
    <row r="825" ht="15.75" customHeight="1">
      <c r="D825" s="42"/>
      <c r="E825" s="42"/>
    </row>
    <row r="826" ht="15.75" customHeight="1">
      <c r="D826" s="42"/>
      <c r="E826" s="42"/>
    </row>
    <row r="827" ht="15.75" customHeight="1">
      <c r="D827" s="42"/>
      <c r="E827" s="42"/>
    </row>
    <row r="828" ht="15.75" customHeight="1">
      <c r="D828" s="42"/>
      <c r="E828" s="42"/>
    </row>
    <row r="829" ht="15.75" customHeight="1">
      <c r="D829" s="42"/>
      <c r="E829" s="42"/>
    </row>
    <row r="830" ht="15.75" customHeight="1">
      <c r="D830" s="42"/>
      <c r="E830" s="42"/>
    </row>
    <row r="831" ht="15.75" customHeight="1">
      <c r="D831" s="42"/>
      <c r="E831" s="42"/>
    </row>
    <row r="832" ht="15.75" customHeight="1">
      <c r="D832" s="42"/>
      <c r="E832" s="42"/>
    </row>
    <row r="833" ht="15.75" customHeight="1">
      <c r="D833" s="42"/>
      <c r="E833" s="42"/>
    </row>
    <row r="834" ht="15.75" customHeight="1">
      <c r="D834" s="42"/>
      <c r="E834" s="42"/>
    </row>
    <row r="835" ht="15.75" customHeight="1">
      <c r="D835" s="42"/>
      <c r="E835" s="42"/>
    </row>
    <row r="836" ht="15.75" customHeight="1">
      <c r="D836" s="42"/>
      <c r="E836" s="42"/>
    </row>
    <row r="837" ht="15.75" customHeight="1">
      <c r="D837" s="42"/>
      <c r="E837" s="42"/>
    </row>
    <row r="838" ht="15.75" customHeight="1">
      <c r="D838" s="42"/>
      <c r="E838" s="42"/>
    </row>
    <row r="839" ht="15.75" customHeight="1">
      <c r="D839" s="42"/>
      <c r="E839" s="42"/>
    </row>
    <row r="840" ht="15.75" customHeight="1">
      <c r="D840" s="42"/>
      <c r="E840" s="42"/>
    </row>
    <row r="841" ht="15.75" customHeight="1">
      <c r="D841" s="42"/>
      <c r="E841" s="42"/>
    </row>
    <row r="842" ht="15.75" customHeight="1">
      <c r="D842" s="42"/>
      <c r="E842" s="42"/>
    </row>
    <row r="843" ht="15.75" customHeight="1">
      <c r="D843" s="42"/>
      <c r="E843" s="42"/>
    </row>
    <row r="844" ht="15.75" customHeight="1">
      <c r="D844" s="42"/>
      <c r="E844" s="42"/>
    </row>
    <row r="845" ht="15.75" customHeight="1">
      <c r="D845" s="42"/>
      <c r="E845" s="42"/>
    </row>
    <row r="846" ht="15.75" customHeight="1">
      <c r="D846" s="42"/>
      <c r="E846" s="42"/>
    </row>
    <row r="847" ht="15.75" customHeight="1">
      <c r="D847" s="42"/>
      <c r="E847" s="42"/>
    </row>
    <row r="848" ht="15.75" customHeight="1">
      <c r="D848" s="42"/>
      <c r="E848" s="42"/>
    </row>
    <row r="849" ht="15.75" customHeight="1">
      <c r="D849" s="42"/>
      <c r="E849" s="42"/>
    </row>
    <row r="850" ht="15.75" customHeight="1">
      <c r="D850" s="42"/>
      <c r="E850" s="42"/>
    </row>
    <row r="851" ht="15.75" customHeight="1">
      <c r="D851" s="42"/>
      <c r="E851" s="42"/>
    </row>
    <row r="852" ht="15.75" customHeight="1">
      <c r="D852" s="42"/>
      <c r="E852" s="42"/>
    </row>
    <row r="853" ht="15.75" customHeight="1">
      <c r="D853" s="42"/>
      <c r="E853" s="42"/>
    </row>
    <row r="854" ht="15.75" customHeight="1">
      <c r="D854" s="42"/>
      <c r="E854" s="42"/>
    </row>
    <row r="855" ht="15.75" customHeight="1">
      <c r="D855" s="42"/>
      <c r="E855" s="42"/>
    </row>
    <row r="856" ht="15.75" customHeight="1">
      <c r="D856" s="42"/>
      <c r="E856" s="42"/>
    </row>
    <row r="857" ht="15.75" customHeight="1">
      <c r="D857" s="42"/>
      <c r="E857" s="42"/>
    </row>
    <row r="858" ht="15.75" customHeight="1">
      <c r="D858" s="42"/>
      <c r="E858" s="42"/>
    </row>
    <row r="859" ht="15.75" customHeight="1">
      <c r="D859" s="42"/>
      <c r="E859" s="42"/>
    </row>
    <row r="860" ht="15.75" customHeight="1">
      <c r="D860" s="42"/>
      <c r="E860" s="42"/>
    </row>
    <row r="861" ht="15.75" customHeight="1">
      <c r="D861" s="42"/>
      <c r="E861" s="42"/>
    </row>
    <row r="862" ht="15.75" customHeight="1">
      <c r="D862" s="42"/>
      <c r="E862" s="42"/>
    </row>
    <row r="863" ht="15.75" customHeight="1">
      <c r="D863" s="42"/>
      <c r="E863" s="42"/>
    </row>
    <row r="864" ht="15.75" customHeight="1">
      <c r="D864" s="42"/>
      <c r="E864" s="42"/>
    </row>
    <row r="865" ht="15.75" customHeight="1">
      <c r="D865" s="42"/>
      <c r="E865" s="42"/>
    </row>
    <row r="866" ht="15.75" customHeight="1">
      <c r="D866" s="42"/>
      <c r="E866" s="42"/>
    </row>
    <row r="867" ht="15.75" customHeight="1">
      <c r="D867" s="42"/>
      <c r="E867" s="42"/>
    </row>
    <row r="868" ht="15.75" customHeight="1">
      <c r="D868" s="42"/>
      <c r="E868" s="42"/>
    </row>
    <row r="869" ht="15.75" customHeight="1">
      <c r="D869" s="42"/>
      <c r="E869" s="42"/>
    </row>
    <row r="870" ht="15.75" customHeight="1">
      <c r="D870" s="42"/>
      <c r="E870" s="42"/>
    </row>
    <row r="871" ht="15.75" customHeight="1">
      <c r="D871" s="42"/>
      <c r="E871" s="42"/>
    </row>
    <row r="872" ht="15.75" customHeight="1">
      <c r="D872" s="42"/>
      <c r="E872" s="42"/>
    </row>
    <row r="873" ht="15.75" customHeight="1">
      <c r="D873" s="42"/>
      <c r="E873" s="42"/>
    </row>
    <row r="874" ht="15.75" customHeight="1">
      <c r="D874" s="42"/>
      <c r="E874" s="42"/>
    </row>
    <row r="875" ht="15.75" customHeight="1">
      <c r="D875" s="42"/>
      <c r="E875" s="42"/>
    </row>
    <row r="876" ht="15.75" customHeight="1">
      <c r="D876" s="42"/>
      <c r="E876" s="42"/>
    </row>
    <row r="877" ht="15.75" customHeight="1">
      <c r="D877" s="42"/>
      <c r="E877" s="42"/>
    </row>
    <row r="878" ht="15.75" customHeight="1">
      <c r="D878" s="42"/>
      <c r="E878" s="42"/>
    </row>
    <row r="879" ht="15.75" customHeight="1">
      <c r="D879" s="42"/>
      <c r="E879" s="42"/>
    </row>
    <row r="880" ht="15.75" customHeight="1">
      <c r="D880" s="42"/>
      <c r="E880" s="42"/>
    </row>
    <row r="881" ht="15.75" customHeight="1">
      <c r="D881" s="42"/>
      <c r="E881" s="42"/>
    </row>
    <row r="882" ht="15.75" customHeight="1">
      <c r="D882" s="42"/>
      <c r="E882" s="42"/>
    </row>
    <row r="883" ht="15.75" customHeight="1">
      <c r="D883" s="42"/>
      <c r="E883" s="42"/>
    </row>
    <row r="884" ht="15.75" customHeight="1">
      <c r="D884" s="42"/>
      <c r="E884" s="42"/>
    </row>
    <row r="885" ht="15.75" customHeight="1">
      <c r="D885" s="42"/>
      <c r="E885" s="42"/>
    </row>
    <row r="886" ht="15.75" customHeight="1">
      <c r="D886" s="42"/>
      <c r="E886" s="42"/>
    </row>
    <row r="887" ht="15.75" customHeight="1">
      <c r="D887" s="42"/>
      <c r="E887" s="42"/>
    </row>
    <row r="888" ht="15.75" customHeight="1">
      <c r="D888" s="42"/>
      <c r="E888" s="42"/>
    </row>
    <row r="889" ht="15.75" customHeight="1">
      <c r="D889" s="42"/>
      <c r="E889" s="42"/>
    </row>
    <row r="890" ht="15.75" customHeight="1">
      <c r="D890" s="42"/>
      <c r="E890" s="42"/>
    </row>
    <row r="891" ht="15.75" customHeight="1">
      <c r="D891" s="42"/>
      <c r="E891" s="42"/>
    </row>
    <row r="892" ht="15.75" customHeight="1">
      <c r="D892" s="42"/>
      <c r="E892" s="42"/>
    </row>
    <row r="893" ht="15.75" customHeight="1">
      <c r="D893" s="42"/>
      <c r="E893" s="42"/>
    </row>
    <row r="894" ht="15.75" customHeight="1">
      <c r="D894" s="42"/>
      <c r="E894" s="42"/>
    </row>
    <row r="895" ht="15.75" customHeight="1">
      <c r="D895" s="42"/>
      <c r="E895" s="42"/>
    </row>
    <row r="896" ht="15.75" customHeight="1">
      <c r="D896" s="42"/>
      <c r="E896" s="42"/>
    </row>
    <row r="897" ht="15.75" customHeight="1">
      <c r="D897" s="42"/>
      <c r="E897" s="42"/>
    </row>
    <row r="898" ht="15.75" customHeight="1">
      <c r="D898" s="42"/>
      <c r="E898" s="42"/>
    </row>
    <row r="899" ht="15.75" customHeight="1">
      <c r="D899" s="42"/>
      <c r="E899" s="42"/>
    </row>
    <row r="900" ht="15.75" customHeight="1">
      <c r="D900" s="42"/>
      <c r="E900" s="42"/>
    </row>
    <row r="901" ht="15.75" customHeight="1">
      <c r="D901" s="42"/>
      <c r="E901" s="42"/>
    </row>
    <row r="902" ht="15.75" customHeight="1">
      <c r="D902" s="42"/>
      <c r="E902" s="42"/>
    </row>
    <row r="903" ht="15.75" customHeight="1">
      <c r="D903" s="42"/>
      <c r="E903" s="42"/>
    </row>
    <row r="904" ht="15.75" customHeight="1">
      <c r="D904" s="42"/>
      <c r="E904" s="42"/>
    </row>
    <row r="905" ht="15.75" customHeight="1">
      <c r="D905" s="42"/>
      <c r="E905" s="42"/>
    </row>
    <row r="906" ht="15.75" customHeight="1">
      <c r="D906" s="42"/>
      <c r="E906" s="42"/>
    </row>
    <row r="907" ht="15.75" customHeight="1">
      <c r="D907" s="42"/>
      <c r="E907" s="42"/>
    </row>
    <row r="908" ht="15.75" customHeight="1">
      <c r="D908" s="42"/>
      <c r="E908" s="42"/>
    </row>
    <row r="909" ht="15.75" customHeight="1">
      <c r="D909" s="42"/>
      <c r="E909" s="42"/>
    </row>
    <row r="910" ht="15.75" customHeight="1">
      <c r="D910" s="42"/>
      <c r="E910" s="42"/>
    </row>
    <row r="911" ht="15.75" customHeight="1">
      <c r="D911" s="42"/>
      <c r="E911" s="42"/>
    </row>
    <row r="912" ht="15.75" customHeight="1">
      <c r="D912" s="42"/>
      <c r="E912" s="42"/>
    </row>
    <row r="913" ht="15.75" customHeight="1">
      <c r="D913" s="42"/>
      <c r="E913" s="42"/>
    </row>
    <row r="914" ht="15.75" customHeight="1">
      <c r="D914" s="42"/>
      <c r="E914" s="42"/>
    </row>
    <row r="915" ht="15.75" customHeight="1">
      <c r="D915" s="42"/>
      <c r="E915" s="42"/>
    </row>
    <row r="916" ht="15.75" customHeight="1">
      <c r="D916" s="42"/>
      <c r="E916" s="42"/>
    </row>
    <row r="917" ht="15.75" customHeight="1">
      <c r="D917" s="42"/>
      <c r="E917" s="42"/>
    </row>
    <row r="918" ht="15.75" customHeight="1">
      <c r="D918" s="42"/>
      <c r="E918" s="42"/>
    </row>
    <row r="919" ht="15.75" customHeight="1">
      <c r="D919" s="42"/>
      <c r="E919" s="42"/>
    </row>
    <row r="920" ht="15.75" customHeight="1">
      <c r="D920" s="42"/>
      <c r="E920" s="42"/>
    </row>
    <row r="921" ht="15.75" customHeight="1">
      <c r="D921" s="42"/>
      <c r="E921" s="42"/>
    </row>
    <row r="922" ht="15.75" customHeight="1">
      <c r="D922" s="42"/>
      <c r="E922" s="42"/>
    </row>
    <row r="923" ht="15.75" customHeight="1">
      <c r="D923" s="42"/>
      <c r="E923" s="42"/>
    </row>
    <row r="924" ht="15.75" customHeight="1">
      <c r="D924" s="42"/>
      <c r="E924" s="42"/>
    </row>
    <row r="925" ht="15.75" customHeight="1">
      <c r="D925" s="42"/>
      <c r="E925" s="42"/>
    </row>
    <row r="926" ht="15.75" customHeight="1">
      <c r="D926" s="42"/>
      <c r="E926" s="42"/>
    </row>
    <row r="927" ht="15.75" customHeight="1">
      <c r="D927" s="42"/>
      <c r="E927" s="42"/>
    </row>
    <row r="928" ht="15.75" customHeight="1">
      <c r="D928" s="42"/>
      <c r="E928" s="42"/>
    </row>
    <row r="929" ht="15.75" customHeight="1">
      <c r="D929" s="42"/>
      <c r="E929" s="42"/>
    </row>
    <row r="930" ht="15.75" customHeight="1">
      <c r="D930" s="42"/>
      <c r="E930" s="42"/>
    </row>
    <row r="931" ht="15.75" customHeight="1">
      <c r="D931" s="42"/>
      <c r="E931" s="42"/>
    </row>
    <row r="932" ht="15.75" customHeight="1">
      <c r="D932" s="42"/>
      <c r="E932" s="42"/>
    </row>
    <row r="933" ht="15.75" customHeight="1">
      <c r="D933" s="42"/>
      <c r="E933" s="42"/>
    </row>
    <row r="934" ht="15.75" customHeight="1">
      <c r="D934" s="42"/>
      <c r="E934" s="42"/>
    </row>
    <row r="935" ht="15.75" customHeight="1">
      <c r="D935" s="42"/>
      <c r="E935" s="42"/>
    </row>
    <row r="936" ht="15.75" customHeight="1">
      <c r="D936" s="42"/>
      <c r="E936" s="42"/>
    </row>
    <row r="937" ht="15.75" customHeight="1">
      <c r="D937" s="42"/>
      <c r="E937" s="42"/>
    </row>
    <row r="938" ht="15.75" customHeight="1">
      <c r="D938" s="42"/>
      <c r="E938" s="42"/>
    </row>
    <row r="939" ht="15.75" customHeight="1">
      <c r="D939" s="42"/>
      <c r="E939" s="42"/>
    </row>
    <row r="940" ht="15.75" customHeight="1">
      <c r="D940" s="42"/>
      <c r="E940" s="42"/>
    </row>
    <row r="941" ht="15.75" customHeight="1">
      <c r="D941" s="42"/>
      <c r="E941" s="42"/>
    </row>
    <row r="942" ht="15.75" customHeight="1">
      <c r="D942" s="42"/>
      <c r="E942" s="42"/>
    </row>
    <row r="943" ht="15.75" customHeight="1">
      <c r="D943" s="42"/>
      <c r="E943" s="42"/>
    </row>
    <row r="944" ht="15.75" customHeight="1">
      <c r="D944" s="42"/>
      <c r="E944" s="42"/>
    </row>
    <row r="945" ht="15.75" customHeight="1">
      <c r="D945" s="42"/>
      <c r="E945" s="42"/>
    </row>
    <row r="946" ht="15.75" customHeight="1">
      <c r="D946" s="42"/>
      <c r="E946" s="42"/>
    </row>
    <row r="947" ht="15.75" customHeight="1">
      <c r="D947" s="42"/>
      <c r="E947" s="42"/>
    </row>
    <row r="948" ht="15.75" customHeight="1">
      <c r="D948" s="42"/>
      <c r="E948" s="42"/>
    </row>
    <row r="949" ht="15.75" customHeight="1">
      <c r="D949" s="42"/>
      <c r="E949" s="42"/>
    </row>
    <row r="950" ht="15.75" customHeight="1">
      <c r="D950" s="42"/>
      <c r="E950" s="42"/>
    </row>
    <row r="951" ht="15.75" customHeight="1">
      <c r="D951" s="42"/>
      <c r="E951" s="42"/>
    </row>
    <row r="952" ht="15.75" customHeight="1">
      <c r="D952" s="42"/>
      <c r="E952" s="42"/>
    </row>
    <row r="953" ht="15.75" customHeight="1">
      <c r="D953" s="42"/>
      <c r="E953" s="42"/>
    </row>
    <row r="954" ht="15.75" customHeight="1">
      <c r="D954" s="42"/>
      <c r="E954" s="42"/>
    </row>
    <row r="955" ht="15.75" customHeight="1">
      <c r="D955" s="42"/>
      <c r="E955" s="42"/>
    </row>
    <row r="956" ht="15.75" customHeight="1">
      <c r="D956" s="42"/>
      <c r="E956" s="42"/>
    </row>
    <row r="957" ht="15.75" customHeight="1">
      <c r="D957" s="42"/>
      <c r="E957" s="42"/>
    </row>
    <row r="958" ht="15.75" customHeight="1">
      <c r="D958" s="42"/>
      <c r="E958" s="42"/>
    </row>
    <row r="959" ht="15.75" customHeight="1">
      <c r="D959" s="42"/>
      <c r="E959" s="42"/>
    </row>
    <row r="960" ht="15.75" customHeight="1">
      <c r="D960" s="42"/>
      <c r="E960" s="42"/>
    </row>
    <row r="961" ht="15.75" customHeight="1">
      <c r="D961" s="42"/>
      <c r="E961" s="42"/>
    </row>
    <row r="962" ht="15.75" customHeight="1">
      <c r="D962" s="42"/>
      <c r="E962" s="42"/>
    </row>
    <row r="963" ht="15.75" customHeight="1">
      <c r="D963" s="42"/>
      <c r="E963" s="42"/>
    </row>
    <row r="964" ht="15.75" customHeight="1">
      <c r="D964" s="42"/>
      <c r="E964" s="42"/>
    </row>
    <row r="965" ht="15.75" customHeight="1">
      <c r="D965" s="42"/>
      <c r="E965" s="42"/>
    </row>
    <row r="966" ht="15.75" customHeight="1">
      <c r="D966" s="42"/>
      <c r="E966" s="42"/>
    </row>
    <row r="967" ht="15.75" customHeight="1">
      <c r="D967" s="42"/>
      <c r="E967" s="42"/>
    </row>
    <row r="968" ht="15.75" customHeight="1">
      <c r="D968" s="42"/>
      <c r="E968" s="42"/>
    </row>
    <row r="969" ht="15.75" customHeight="1">
      <c r="D969" s="42"/>
      <c r="E969" s="42"/>
    </row>
    <row r="970" ht="15.75" customHeight="1">
      <c r="D970" s="42"/>
      <c r="E970" s="42"/>
    </row>
    <row r="971" ht="15.75" customHeight="1">
      <c r="D971" s="42"/>
      <c r="E971" s="42"/>
    </row>
    <row r="972" ht="15.75" customHeight="1">
      <c r="D972" s="42"/>
      <c r="E972" s="42"/>
    </row>
    <row r="973" ht="15.75" customHeight="1">
      <c r="D973" s="42"/>
      <c r="E973" s="42"/>
    </row>
    <row r="974" ht="15.75" customHeight="1">
      <c r="D974" s="42"/>
      <c r="E974" s="42"/>
    </row>
    <row r="975" ht="15.75" customHeight="1">
      <c r="D975" s="42"/>
      <c r="E975" s="42"/>
    </row>
    <row r="976" ht="15.75" customHeight="1">
      <c r="D976" s="42"/>
      <c r="E976" s="42"/>
    </row>
    <row r="977" ht="15.75" customHeight="1">
      <c r="D977" s="42"/>
      <c r="E977" s="42"/>
    </row>
    <row r="978" ht="15.75" customHeight="1">
      <c r="D978" s="42"/>
      <c r="E978" s="42"/>
    </row>
    <row r="979" ht="15.75" customHeight="1">
      <c r="D979" s="42"/>
      <c r="E979" s="42"/>
    </row>
    <row r="980" ht="15.75" customHeight="1">
      <c r="D980" s="42"/>
      <c r="E980" s="42"/>
    </row>
    <row r="981" ht="15.75" customHeight="1">
      <c r="D981" s="42"/>
      <c r="E981" s="42"/>
    </row>
    <row r="982" ht="15.75" customHeight="1">
      <c r="D982" s="42"/>
      <c r="E982" s="42"/>
    </row>
    <row r="983" ht="15.75" customHeight="1">
      <c r="D983" s="42"/>
      <c r="E983" s="42"/>
    </row>
    <row r="984" ht="15.75" customHeight="1">
      <c r="D984" s="42"/>
      <c r="E984" s="42"/>
    </row>
    <row r="985" ht="15.75" customHeight="1">
      <c r="D985" s="42"/>
      <c r="E985" s="42"/>
    </row>
    <row r="986" ht="15.75" customHeight="1">
      <c r="D986" s="42"/>
      <c r="E986" s="42"/>
    </row>
    <row r="987" ht="15.75" customHeight="1">
      <c r="D987" s="42"/>
      <c r="E987" s="42"/>
    </row>
    <row r="988" ht="15.75" customHeight="1">
      <c r="D988" s="42"/>
      <c r="E988" s="42"/>
    </row>
    <row r="989" ht="15.75" customHeight="1">
      <c r="D989" s="42"/>
      <c r="E989" s="42"/>
    </row>
    <row r="990" ht="15.75" customHeight="1">
      <c r="D990" s="42"/>
      <c r="E990" s="42"/>
    </row>
    <row r="991" ht="15.75" customHeight="1">
      <c r="D991" s="42"/>
      <c r="E991" s="42"/>
    </row>
    <row r="992" ht="15.75" customHeight="1">
      <c r="D992" s="42"/>
      <c r="E992" s="42"/>
    </row>
    <row r="993" ht="15.75" customHeight="1">
      <c r="D993" s="42"/>
      <c r="E993" s="42"/>
    </row>
    <row r="994" ht="15.75" customHeight="1">
      <c r="D994" s="42"/>
      <c r="E994" s="42"/>
    </row>
    <row r="995" ht="15.75" customHeight="1">
      <c r="D995" s="42"/>
      <c r="E995" s="42"/>
    </row>
    <row r="996" ht="15.75" customHeight="1">
      <c r="D996" s="42"/>
      <c r="E996" s="42"/>
    </row>
    <row r="997" ht="15.75" customHeight="1">
      <c r="D997" s="42"/>
      <c r="E997" s="42"/>
    </row>
    <row r="998" ht="15.75" customHeight="1">
      <c r="D998" s="42"/>
      <c r="E998" s="42"/>
    </row>
    <row r="999" ht="15.75" customHeight="1">
      <c r="D999" s="42"/>
      <c r="E999" s="42"/>
    </row>
    <row r="1000" ht="15.75" customHeight="1">
      <c r="D1000" s="42"/>
      <c r="E1000" s="42"/>
    </row>
  </sheetData>
  <mergeCells count="12">
    <mergeCell ref="O6:R6"/>
    <mergeCell ref="S6:V6"/>
    <mergeCell ref="A23:C23"/>
    <mergeCell ref="A24:C24"/>
    <mergeCell ref="A1:AA2"/>
    <mergeCell ref="A3:AA4"/>
    <mergeCell ref="A5:AA5"/>
    <mergeCell ref="A6:A7"/>
    <mergeCell ref="E6:E7"/>
    <mergeCell ref="F6:I6"/>
    <mergeCell ref="J6:N6"/>
    <mergeCell ref="W6:AA6"/>
  </mergeCells>
  <printOptions/>
  <pageMargins bottom="0.2" footer="0.0" header="0.0" left="0.2" right="0.2" top="0.2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2.57"/>
    <col customWidth="1" min="3" max="3" width="7.43"/>
    <col customWidth="1" min="4" max="4" width="10.0"/>
    <col customWidth="1" min="5" max="5" width="13.14"/>
    <col customWidth="1" min="6" max="6" width="12.71"/>
    <col customWidth="1" hidden="1" min="7" max="7" width="12.29"/>
    <col customWidth="1" min="8" max="9" width="9.0"/>
    <col customWidth="1" min="10" max="10" width="12.29"/>
    <col customWidth="1" hidden="1" min="11" max="11" width="12.29"/>
    <col customWidth="1" min="12" max="12" width="11.29"/>
    <col customWidth="1" min="13" max="13" width="0.14"/>
    <col customWidth="1" min="14" max="14" width="9.57"/>
    <col customWidth="1" min="15" max="15" width="12.29"/>
    <col customWidth="1" hidden="1" min="16" max="16" width="14.29"/>
    <col customWidth="1" min="17" max="17" width="9.43"/>
    <col customWidth="1" min="18" max="18" width="7.86"/>
    <col customWidth="1" min="19" max="19" width="11.14"/>
    <col customWidth="1" hidden="1" min="20" max="20" width="13.43"/>
    <col customWidth="1" min="21" max="21" width="8.43"/>
    <col customWidth="1" min="22" max="22" width="8.0"/>
    <col customWidth="1" min="23" max="23" width="13.14"/>
    <col customWidth="1" hidden="1" min="24" max="24" width="2.29"/>
    <col customWidth="1" min="25" max="25" width="11.14"/>
    <col customWidth="1" min="26" max="26" width="7.14"/>
    <col customWidth="1" min="27" max="27" width="11.57"/>
  </cols>
  <sheetData>
    <row r="1">
      <c r="A1" s="1" t="s">
        <v>0</v>
      </c>
    </row>
    <row r="3">
      <c r="A3" s="2" t="s">
        <v>43</v>
      </c>
    </row>
    <row r="5">
      <c r="A5" s="3" t="s">
        <v>44</v>
      </c>
    </row>
    <row r="6">
      <c r="A6" s="4" t="s">
        <v>3</v>
      </c>
      <c r="B6" s="5" t="s">
        <v>4</v>
      </c>
      <c r="C6" s="5" t="s">
        <v>5</v>
      </c>
      <c r="D6" s="5" t="s">
        <v>6</v>
      </c>
      <c r="E6" s="4" t="s">
        <v>7</v>
      </c>
      <c r="F6" s="6" t="s">
        <v>8</v>
      </c>
      <c r="G6" s="7"/>
      <c r="H6" s="7"/>
      <c r="I6" s="8"/>
      <c r="J6" s="6" t="s">
        <v>9</v>
      </c>
      <c r="K6" s="7"/>
      <c r="L6" s="7"/>
      <c r="M6" s="7"/>
      <c r="N6" s="8"/>
      <c r="O6" s="6" t="s">
        <v>10</v>
      </c>
      <c r="P6" s="7"/>
      <c r="Q6" s="7"/>
      <c r="R6" s="8"/>
      <c r="S6" s="6" t="s">
        <v>11</v>
      </c>
      <c r="T6" s="7"/>
      <c r="U6" s="7"/>
      <c r="V6" s="8"/>
      <c r="W6" s="6" t="s">
        <v>12</v>
      </c>
      <c r="X6" s="7"/>
      <c r="Y6" s="7"/>
      <c r="Z6" s="8"/>
    </row>
    <row r="7">
      <c r="A7" s="9"/>
      <c r="B7" s="10"/>
      <c r="C7" s="10"/>
      <c r="D7" s="10"/>
      <c r="E7" s="11"/>
      <c r="F7" s="12" t="s">
        <v>13</v>
      </c>
      <c r="G7" s="12"/>
      <c r="H7" s="12" t="s">
        <v>14</v>
      </c>
      <c r="I7" s="12" t="s">
        <v>15</v>
      </c>
      <c r="J7" s="12" t="s">
        <v>13</v>
      </c>
      <c r="K7" s="12"/>
      <c r="L7" s="12" t="s">
        <v>14</v>
      </c>
      <c r="M7" s="12"/>
      <c r="N7" s="12" t="s">
        <v>15</v>
      </c>
      <c r="O7" s="12" t="s">
        <v>13</v>
      </c>
      <c r="P7" s="12"/>
      <c r="Q7" s="12" t="s">
        <v>14</v>
      </c>
      <c r="R7" s="12" t="s">
        <v>15</v>
      </c>
      <c r="S7" s="12" t="s">
        <v>13</v>
      </c>
      <c r="T7" s="12"/>
      <c r="U7" s="12" t="s">
        <v>14</v>
      </c>
      <c r="V7" s="12" t="s">
        <v>15</v>
      </c>
      <c r="W7" s="12" t="s">
        <v>13</v>
      </c>
      <c r="X7" s="12"/>
      <c r="Y7" s="12" t="s">
        <v>14</v>
      </c>
      <c r="Z7" s="12" t="s">
        <v>15</v>
      </c>
    </row>
    <row r="8">
      <c r="A8" s="13">
        <v>1.0</v>
      </c>
      <c r="B8" s="14" t="s">
        <v>16</v>
      </c>
      <c r="C8" s="13" t="s">
        <v>17</v>
      </c>
      <c r="D8" s="13">
        <v>70.79</v>
      </c>
      <c r="E8" s="15">
        <v>500.0</v>
      </c>
      <c r="F8" s="16">
        <f t="shared" ref="F8:F22" si="1">W8/26*7</f>
        <v>695.6923077</v>
      </c>
      <c r="G8" s="17">
        <f t="shared" ref="G8:G23" si="2">F8*D8</f>
        <v>49248.05846</v>
      </c>
      <c r="H8" s="18"/>
      <c r="I8" s="19"/>
      <c r="J8" s="19">
        <v>695.6923076923077</v>
      </c>
      <c r="K8" s="19">
        <f t="shared" ref="K8:K22" si="3">J8*D8</f>
        <v>49248.05846</v>
      </c>
      <c r="L8" s="19">
        <v>0.0</v>
      </c>
      <c r="M8" s="19">
        <f t="shared" ref="M8:M22" si="4">L8*D8</f>
        <v>0</v>
      </c>
      <c r="N8" s="24">
        <f t="shared" ref="N8:N24" si="5">L8/J8</f>
        <v>0</v>
      </c>
      <c r="O8" s="18">
        <v>695.6923076923077</v>
      </c>
      <c r="P8" s="22">
        <f t="shared" ref="P8:P23" si="6">O8*D8</f>
        <v>49248.05846</v>
      </c>
      <c r="Q8" s="18"/>
      <c r="R8" s="18"/>
      <c r="S8" s="18">
        <v>695.6923076923077</v>
      </c>
      <c r="T8" s="18">
        <f t="shared" ref="T8:T22" si="7">S8*D8</f>
        <v>49248.05846</v>
      </c>
      <c r="U8" s="18"/>
      <c r="V8" s="66"/>
      <c r="W8" s="16">
        <f>ZEESHAN!W8+SAQIB!W8</f>
        <v>2584</v>
      </c>
      <c r="X8" s="23">
        <f t="shared" ref="X8:X23" si="8">W8*D8</f>
        <v>182921.36</v>
      </c>
      <c r="Y8" s="18">
        <f>ZEESHAN!Y8+SAQIB!Y8</f>
        <v>10</v>
      </c>
      <c r="Z8" s="24">
        <f t="shared" ref="Z8:Z24" si="9">Y8/W8</f>
        <v>0.00386996904</v>
      </c>
      <c r="AA8" s="25"/>
    </row>
    <row r="9">
      <c r="A9" s="26">
        <v>2.0</v>
      </c>
      <c r="B9" s="27" t="s">
        <v>18</v>
      </c>
      <c r="C9" s="26" t="s">
        <v>17</v>
      </c>
      <c r="D9" s="26">
        <v>89.37</v>
      </c>
      <c r="E9" s="28">
        <v>500.0</v>
      </c>
      <c r="F9" s="29">
        <f t="shared" si="1"/>
        <v>695.6923077</v>
      </c>
      <c r="G9" s="23">
        <f t="shared" si="2"/>
        <v>62174.02154</v>
      </c>
      <c r="H9" s="30"/>
      <c r="I9" s="31"/>
      <c r="J9" s="31">
        <v>695.6923076923077</v>
      </c>
      <c r="K9" s="19">
        <f t="shared" si="3"/>
        <v>62174.02154</v>
      </c>
      <c r="L9" s="31">
        <v>55.0</v>
      </c>
      <c r="M9" s="19">
        <f t="shared" si="4"/>
        <v>4915.35</v>
      </c>
      <c r="N9" s="24">
        <f t="shared" si="5"/>
        <v>0.07905793897</v>
      </c>
      <c r="O9" s="30">
        <v>695.6923076923077</v>
      </c>
      <c r="P9" s="22">
        <f t="shared" si="6"/>
        <v>62174.02154</v>
      </c>
      <c r="Q9" s="30"/>
      <c r="R9" s="30"/>
      <c r="S9" s="30">
        <v>695.6923076923077</v>
      </c>
      <c r="T9" s="18">
        <f t="shared" si="7"/>
        <v>62174.02154</v>
      </c>
      <c r="U9" s="30"/>
      <c r="V9" s="67"/>
      <c r="W9" s="29">
        <f>ZEESHAN!W9+SAQIB!W9</f>
        <v>2584</v>
      </c>
      <c r="X9" s="23">
        <f t="shared" si="8"/>
        <v>230932.08</v>
      </c>
      <c r="Y9" s="18">
        <f>ZEESHAN!Y9+SAQIB!Y9</f>
        <v>32</v>
      </c>
      <c r="Z9" s="24">
        <f t="shared" si="9"/>
        <v>0.01238390093</v>
      </c>
      <c r="AA9" s="25"/>
    </row>
    <row r="10">
      <c r="A10" s="26">
        <v>3.0</v>
      </c>
      <c r="B10" s="27" t="s">
        <v>19</v>
      </c>
      <c r="C10" s="26" t="s">
        <v>17</v>
      </c>
      <c r="D10" s="26">
        <v>112.5</v>
      </c>
      <c r="E10" s="28">
        <v>800.0</v>
      </c>
      <c r="F10" s="29">
        <f t="shared" si="1"/>
        <v>1113</v>
      </c>
      <c r="G10" s="23">
        <f t="shared" si="2"/>
        <v>125212.5</v>
      </c>
      <c r="H10" s="30"/>
      <c r="I10" s="31"/>
      <c r="J10" s="31">
        <v>1113.0</v>
      </c>
      <c r="K10" s="19">
        <f t="shared" si="3"/>
        <v>125212.5</v>
      </c>
      <c r="L10" s="31">
        <v>1518.0</v>
      </c>
      <c r="M10" s="19">
        <f t="shared" si="4"/>
        <v>170775</v>
      </c>
      <c r="N10" s="24">
        <f t="shared" si="5"/>
        <v>1.363881402</v>
      </c>
      <c r="O10" s="30">
        <v>1113.0</v>
      </c>
      <c r="P10" s="22">
        <f t="shared" si="6"/>
        <v>125212.5</v>
      </c>
      <c r="Q10" s="30"/>
      <c r="R10" s="30"/>
      <c r="S10" s="30">
        <v>1113.0</v>
      </c>
      <c r="T10" s="18">
        <f t="shared" si="7"/>
        <v>125212.5</v>
      </c>
      <c r="U10" s="30"/>
      <c r="V10" s="67"/>
      <c r="W10" s="29">
        <f>ZEESHAN!W10+SAQIB!W10</f>
        <v>4134</v>
      </c>
      <c r="X10" s="23">
        <f t="shared" si="8"/>
        <v>465075</v>
      </c>
      <c r="Y10" s="18">
        <f>ZEESHAN!Y10+SAQIB!Y10</f>
        <v>3953</v>
      </c>
      <c r="Z10" s="24">
        <f t="shared" si="9"/>
        <v>0.9562167392</v>
      </c>
      <c r="AA10" s="25"/>
    </row>
    <row r="11">
      <c r="A11" s="26">
        <v>4.0</v>
      </c>
      <c r="B11" s="27" t="s">
        <v>20</v>
      </c>
      <c r="C11" s="26" t="s">
        <v>21</v>
      </c>
      <c r="D11" s="26">
        <v>55.23</v>
      </c>
      <c r="E11" s="28">
        <v>200.0</v>
      </c>
      <c r="F11" s="29">
        <f t="shared" si="1"/>
        <v>278.3846154</v>
      </c>
      <c r="G11" s="23">
        <f t="shared" si="2"/>
        <v>15375.18231</v>
      </c>
      <c r="H11" s="30"/>
      <c r="I11" s="31"/>
      <c r="J11" s="31">
        <v>278.38461538461536</v>
      </c>
      <c r="K11" s="19">
        <f t="shared" si="3"/>
        <v>15375.18231</v>
      </c>
      <c r="L11" s="31">
        <v>0.0</v>
      </c>
      <c r="M11" s="19">
        <f t="shared" si="4"/>
        <v>0</v>
      </c>
      <c r="N11" s="24">
        <f t="shared" si="5"/>
        <v>0</v>
      </c>
      <c r="O11" s="30">
        <v>278.38461538461536</v>
      </c>
      <c r="P11" s="22">
        <f t="shared" si="6"/>
        <v>15375.18231</v>
      </c>
      <c r="Q11" s="30"/>
      <c r="R11" s="30"/>
      <c r="S11" s="30">
        <v>278.38461538461536</v>
      </c>
      <c r="T11" s="18">
        <f t="shared" si="7"/>
        <v>15375.18231</v>
      </c>
      <c r="U11" s="30"/>
      <c r="V11" s="67"/>
      <c r="W11" s="29">
        <f>ZEESHAN!W11+SAQIB!W11</f>
        <v>1034</v>
      </c>
      <c r="X11" s="23">
        <f t="shared" si="8"/>
        <v>57107.82</v>
      </c>
      <c r="Y11" s="18">
        <f>ZEESHAN!Y11+SAQIB!Y11</f>
        <v>20</v>
      </c>
      <c r="Z11" s="24">
        <f t="shared" si="9"/>
        <v>0.01934235977</v>
      </c>
      <c r="AA11" s="25"/>
    </row>
    <row r="12">
      <c r="A12" s="26">
        <v>5.0</v>
      </c>
      <c r="B12" s="27" t="s">
        <v>22</v>
      </c>
      <c r="C12" s="26" t="s">
        <v>23</v>
      </c>
      <c r="D12" s="26">
        <v>192.63</v>
      </c>
      <c r="E12" s="28">
        <v>192.0</v>
      </c>
      <c r="F12" s="29">
        <f t="shared" si="1"/>
        <v>267.0769231</v>
      </c>
      <c r="G12" s="23">
        <f t="shared" si="2"/>
        <v>51447.02769</v>
      </c>
      <c r="H12" s="30"/>
      <c r="I12" s="31"/>
      <c r="J12" s="31">
        <v>267.0769230769231</v>
      </c>
      <c r="K12" s="19">
        <f t="shared" si="3"/>
        <v>51447.02769</v>
      </c>
      <c r="L12" s="31">
        <v>6.0</v>
      </c>
      <c r="M12" s="19">
        <f t="shared" si="4"/>
        <v>1155.78</v>
      </c>
      <c r="N12" s="24">
        <f t="shared" si="5"/>
        <v>0.02246543779</v>
      </c>
      <c r="O12" s="30">
        <v>267.0769230769231</v>
      </c>
      <c r="P12" s="22">
        <f t="shared" si="6"/>
        <v>51447.02769</v>
      </c>
      <c r="Q12" s="30"/>
      <c r="R12" s="30"/>
      <c r="S12" s="30">
        <v>267.0769230769231</v>
      </c>
      <c r="T12" s="18">
        <f t="shared" si="7"/>
        <v>51447.02769</v>
      </c>
      <c r="U12" s="30"/>
      <c r="V12" s="67"/>
      <c r="W12" s="29">
        <f>ZEESHAN!W12+SAQIB!W12</f>
        <v>992</v>
      </c>
      <c r="X12" s="23">
        <f t="shared" si="8"/>
        <v>191088.96</v>
      </c>
      <c r="Y12" s="18">
        <f>ZEESHAN!Y12+SAQIB!Y12</f>
        <v>32</v>
      </c>
      <c r="Z12" s="24">
        <f t="shared" si="9"/>
        <v>0.03225806452</v>
      </c>
      <c r="AA12" s="25"/>
    </row>
    <row r="13">
      <c r="A13" s="26">
        <v>6.0</v>
      </c>
      <c r="B13" s="27" t="s">
        <v>24</v>
      </c>
      <c r="C13" s="26" t="s">
        <v>23</v>
      </c>
      <c r="D13" s="26">
        <v>195.0</v>
      </c>
      <c r="E13" s="28">
        <v>30.0</v>
      </c>
      <c r="F13" s="29">
        <f t="shared" si="1"/>
        <v>42</v>
      </c>
      <c r="G13" s="23">
        <f t="shared" si="2"/>
        <v>8190</v>
      </c>
      <c r="H13" s="30"/>
      <c r="I13" s="31"/>
      <c r="J13" s="31">
        <v>42.0</v>
      </c>
      <c r="K13" s="19">
        <f t="shared" si="3"/>
        <v>8190</v>
      </c>
      <c r="L13" s="31">
        <v>0.0</v>
      </c>
      <c r="M13" s="19">
        <f t="shared" si="4"/>
        <v>0</v>
      </c>
      <c r="N13" s="24">
        <f t="shared" si="5"/>
        <v>0</v>
      </c>
      <c r="O13" s="30">
        <v>42.0</v>
      </c>
      <c r="P13" s="22">
        <f t="shared" si="6"/>
        <v>8190</v>
      </c>
      <c r="Q13" s="30"/>
      <c r="R13" s="30"/>
      <c r="S13" s="30">
        <v>42.0</v>
      </c>
      <c r="T13" s="18">
        <f t="shared" si="7"/>
        <v>8190</v>
      </c>
      <c r="U13" s="30"/>
      <c r="V13" s="67"/>
      <c r="W13" s="29">
        <f>ZEESHAN!W13+SAQIB!W13</f>
        <v>156</v>
      </c>
      <c r="X13" s="23">
        <f t="shared" si="8"/>
        <v>30420</v>
      </c>
      <c r="Y13" s="18">
        <f>ZEESHAN!Y13+SAQIB!Y13</f>
        <v>0</v>
      </c>
      <c r="Z13" s="24">
        <f t="shared" si="9"/>
        <v>0</v>
      </c>
      <c r="AA13" s="25"/>
    </row>
    <row r="14">
      <c r="A14" s="26">
        <v>7.0</v>
      </c>
      <c r="B14" s="27" t="s">
        <v>25</v>
      </c>
      <c r="C14" s="26" t="s">
        <v>23</v>
      </c>
      <c r="D14" s="26">
        <v>648.52</v>
      </c>
      <c r="E14" s="28">
        <v>30.0</v>
      </c>
      <c r="F14" s="29">
        <f t="shared" si="1"/>
        <v>42</v>
      </c>
      <c r="G14" s="23">
        <f t="shared" si="2"/>
        <v>27237.84</v>
      </c>
      <c r="H14" s="30"/>
      <c r="I14" s="31"/>
      <c r="J14" s="31">
        <v>42.0</v>
      </c>
      <c r="K14" s="19">
        <f t="shared" si="3"/>
        <v>27237.84</v>
      </c>
      <c r="L14" s="31">
        <v>2.0</v>
      </c>
      <c r="M14" s="19">
        <f t="shared" si="4"/>
        <v>1297.04</v>
      </c>
      <c r="N14" s="24">
        <f t="shared" si="5"/>
        <v>0.04761904762</v>
      </c>
      <c r="O14" s="30">
        <v>42.0</v>
      </c>
      <c r="P14" s="22">
        <f t="shared" si="6"/>
        <v>27237.84</v>
      </c>
      <c r="Q14" s="30"/>
      <c r="R14" s="30"/>
      <c r="S14" s="30">
        <v>42.0</v>
      </c>
      <c r="T14" s="18">
        <f t="shared" si="7"/>
        <v>27237.84</v>
      </c>
      <c r="U14" s="30"/>
      <c r="V14" s="67"/>
      <c r="W14" s="29">
        <f>ZEESHAN!W14+SAQIB!W14</f>
        <v>156</v>
      </c>
      <c r="X14" s="23">
        <f t="shared" si="8"/>
        <v>101169.12</v>
      </c>
      <c r="Y14" s="18">
        <f>ZEESHAN!Y14+SAQIB!Y14</f>
        <v>4</v>
      </c>
      <c r="Z14" s="24">
        <f t="shared" si="9"/>
        <v>0.02564102564</v>
      </c>
      <c r="AA14" s="25"/>
    </row>
    <row r="15">
      <c r="A15" s="26">
        <v>8.0</v>
      </c>
      <c r="B15" s="27" t="s">
        <v>26</v>
      </c>
      <c r="C15" s="26" t="s">
        <v>21</v>
      </c>
      <c r="D15" s="26">
        <v>51.0</v>
      </c>
      <c r="E15" s="28">
        <v>300.0</v>
      </c>
      <c r="F15" s="29">
        <f t="shared" si="1"/>
        <v>417.3076923</v>
      </c>
      <c r="G15" s="23">
        <f t="shared" si="2"/>
        <v>21282.69231</v>
      </c>
      <c r="H15" s="30"/>
      <c r="I15" s="31"/>
      <c r="J15" s="31">
        <v>417.30769230769226</v>
      </c>
      <c r="K15" s="19">
        <f t="shared" si="3"/>
        <v>21282.69231</v>
      </c>
      <c r="L15" s="31">
        <v>159.0</v>
      </c>
      <c r="M15" s="19">
        <f t="shared" si="4"/>
        <v>8109</v>
      </c>
      <c r="N15" s="24">
        <f t="shared" si="5"/>
        <v>0.3810138249</v>
      </c>
      <c r="O15" s="30">
        <v>417.30769230769226</v>
      </c>
      <c r="P15" s="22">
        <f t="shared" si="6"/>
        <v>21282.69231</v>
      </c>
      <c r="Q15" s="30"/>
      <c r="R15" s="30"/>
      <c r="S15" s="30">
        <v>417.30769230769226</v>
      </c>
      <c r="T15" s="18">
        <f t="shared" si="7"/>
        <v>21282.69231</v>
      </c>
      <c r="U15" s="30"/>
      <c r="V15" s="67"/>
      <c r="W15" s="29">
        <f>ZEESHAN!W15+SAQIB!W15</f>
        <v>1550</v>
      </c>
      <c r="X15" s="23">
        <f t="shared" si="8"/>
        <v>79050</v>
      </c>
      <c r="Y15" s="18">
        <f>ZEESHAN!Y15+SAQIB!Y15</f>
        <v>187</v>
      </c>
      <c r="Z15" s="24">
        <f t="shared" si="9"/>
        <v>0.1206451613</v>
      </c>
      <c r="AA15" s="25"/>
    </row>
    <row r="16">
      <c r="A16" s="26">
        <v>9.0</v>
      </c>
      <c r="B16" s="27" t="s">
        <v>27</v>
      </c>
      <c r="C16" s="26" t="s">
        <v>28</v>
      </c>
      <c r="D16" s="26">
        <v>189.25</v>
      </c>
      <c r="E16" s="28">
        <v>560.0</v>
      </c>
      <c r="F16" s="29">
        <f t="shared" si="1"/>
        <v>779.1538462</v>
      </c>
      <c r="G16" s="23">
        <f t="shared" si="2"/>
        <v>147454.8654</v>
      </c>
      <c r="H16" s="30"/>
      <c r="I16" s="31"/>
      <c r="J16" s="31">
        <v>779.1538461538462</v>
      </c>
      <c r="K16" s="19">
        <f t="shared" si="3"/>
        <v>147454.8654</v>
      </c>
      <c r="L16" s="31">
        <v>90.0</v>
      </c>
      <c r="M16" s="19">
        <f t="shared" si="4"/>
        <v>17032.5</v>
      </c>
      <c r="N16" s="24">
        <f t="shared" si="5"/>
        <v>0.115509922</v>
      </c>
      <c r="O16" s="30">
        <v>779.1538461538462</v>
      </c>
      <c r="P16" s="22">
        <f t="shared" si="6"/>
        <v>147454.8654</v>
      </c>
      <c r="Q16" s="30"/>
      <c r="R16" s="30"/>
      <c r="S16" s="30">
        <v>779.1538461538462</v>
      </c>
      <c r="T16" s="18">
        <f t="shared" si="7"/>
        <v>147454.8654</v>
      </c>
      <c r="U16" s="30"/>
      <c r="V16" s="67"/>
      <c r="W16" s="29">
        <f>ZEESHAN!W16+SAQIB!W16</f>
        <v>2894</v>
      </c>
      <c r="X16" s="23">
        <f t="shared" si="8"/>
        <v>547689.5</v>
      </c>
      <c r="Y16" s="18">
        <f>ZEESHAN!Y16+SAQIB!Y16</f>
        <v>134</v>
      </c>
      <c r="Z16" s="24">
        <f t="shared" si="9"/>
        <v>0.04630269523</v>
      </c>
      <c r="AA16" s="25"/>
    </row>
    <row r="17">
      <c r="A17" s="26">
        <v>10.0</v>
      </c>
      <c r="B17" s="27" t="s">
        <v>29</v>
      </c>
      <c r="C17" s="26" t="s">
        <v>30</v>
      </c>
      <c r="D17" s="26">
        <v>128.86</v>
      </c>
      <c r="E17" s="28">
        <v>550.0</v>
      </c>
      <c r="F17" s="29">
        <f t="shared" si="1"/>
        <v>765.1538462</v>
      </c>
      <c r="G17" s="23">
        <f t="shared" si="2"/>
        <v>98597.72462</v>
      </c>
      <c r="H17" s="30"/>
      <c r="I17" s="31"/>
      <c r="J17" s="31">
        <v>765.1538461538462</v>
      </c>
      <c r="K17" s="19">
        <f t="shared" si="3"/>
        <v>98597.72462</v>
      </c>
      <c r="L17" s="31">
        <v>3.0</v>
      </c>
      <c r="M17" s="19">
        <f t="shared" si="4"/>
        <v>386.58</v>
      </c>
      <c r="N17" s="24">
        <f t="shared" si="5"/>
        <v>0.003920780135</v>
      </c>
      <c r="O17" s="30">
        <v>765.1538461538462</v>
      </c>
      <c r="P17" s="22">
        <f t="shared" si="6"/>
        <v>98597.72462</v>
      </c>
      <c r="Q17" s="30"/>
      <c r="R17" s="30"/>
      <c r="S17" s="30">
        <v>765.1538461538462</v>
      </c>
      <c r="T17" s="18">
        <f t="shared" si="7"/>
        <v>98597.72462</v>
      </c>
      <c r="U17" s="30"/>
      <c r="V17" s="67"/>
      <c r="W17" s="29">
        <f>ZEESHAN!W17+SAQIB!W17</f>
        <v>2842</v>
      </c>
      <c r="X17" s="23">
        <f t="shared" si="8"/>
        <v>366220.12</v>
      </c>
      <c r="Y17" s="18">
        <f>ZEESHAN!Y17+SAQIB!Y17</f>
        <v>0</v>
      </c>
      <c r="Z17" s="24">
        <f t="shared" si="9"/>
        <v>0</v>
      </c>
      <c r="AA17" s="25"/>
    </row>
    <row r="18">
      <c r="A18" s="26">
        <v>11.0</v>
      </c>
      <c r="B18" s="27" t="s">
        <v>31</v>
      </c>
      <c r="C18" s="26" t="s">
        <v>32</v>
      </c>
      <c r="D18" s="26">
        <v>94.9</v>
      </c>
      <c r="E18" s="28">
        <v>650.0</v>
      </c>
      <c r="F18" s="29">
        <f t="shared" si="1"/>
        <v>904.0769231</v>
      </c>
      <c r="G18" s="23">
        <f t="shared" si="2"/>
        <v>85796.9</v>
      </c>
      <c r="H18" s="30"/>
      <c r="I18" s="31"/>
      <c r="J18" s="31">
        <v>904.0769230769231</v>
      </c>
      <c r="K18" s="19">
        <f t="shared" si="3"/>
        <v>85796.9</v>
      </c>
      <c r="L18" s="31">
        <v>102.0</v>
      </c>
      <c r="M18" s="19">
        <f t="shared" si="4"/>
        <v>9679.8</v>
      </c>
      <c r="N18" s="24">
        <f t="shared" si="5"/>
        <v>0.1128222581</v>
      </c>
      <c r="O18" s="30">
        <v>904.0769230769231</v>
      </c>
      <c r="P18" s="22">
        <f t="shared" si="6"/>
        <v>85796.9</v>
      </c>
      <c r="Q18" s="30"/>
      <c r="R18" s="30"/>
      <c r="S18" s="30">
        <v>904.0769230769231</v>
      </c>
      <c r="T18" s="18">
        <f t="shared" si="7"/>
        <v>85796.9</v>
      </c>
      <c r="U18" s="30"/>
      <c r="V18" s="67"/>
      <c r="W18" s="29">
        <f>ZEESHAN!W18+SAQIB!W18</f>
        <v>3358</v>
      </c>
      <c r="X18" s="23">
        <f t="shared" si="8"/>
        <v>318674.2</v>
      </c>
      <c r="Y18" s="18">
        <f>ZEESHAN!Y18+SAQIB!Y18</f>
        <v>109</v>
      </c>
      <c r="Z18" s="24">
        <f t="shared" si="9"/>
        <v>0.0324597975</v>
      </c>
      <c r="AA18" s="25"/>
    </row>
    <row r="19">
      <c r="A19" s="26">
        <v>12.0</v>
      </c>
      <c r="B19" s="27" t="s">
        <v>33</v>
      </c>
      <c r="C19" s="26" t="s">
        <v>34</v>
      </c>
      <c r="D19" s="26">
        <v>85.33</v>
      </c>
      <c r="E19" s="28">
        <v>550.0</v>
      </c>
      <c r="F19" s="29">
        <f t="shared" si="1"/>
        <v>765.1538462</v>
      </c>
      <c r="G19" s="23">
        <f t="shared" si="2"/>
        <v>65290.57769</v>
      </c>
      <c r="H19" s="30"/>
      <c r="I19" s="31"/>
      <c r="J19" s="31">
        <v>765.1538461538462</v>
      </c>
      <c r="K19" s="19">
        <f t="shared" si="3"/>
        <v>65290.57769</v>
      </c>
      <c r="L19" s="31">
        <v>312.0</v>
      </c>
      <c r="M19" s="19">
        <f t="shared" si="4"/>
        <v>26622.96</v>
      </c>
      <c r="N19" s="24">
        <f t="shared" si="5"/>
        <v>0.407761134</v>
      </c>
      <c r="O19" s="30">
        <v>765.1538461538462</v>
      </c>
      <c r="P19" s="22">
        <f t="shared" si="6"/>
        <v>65290.57769</v>
      </c>
      <c r="Q19" s="30"/>
      <c r="R19" s="30"/>
      <c r="S19" s="30">
        <v>765.1538461538462</v>
      </c>
      <c r="T19" s="18">
        <f t="shared" si="7"/>
        <v>65290.57769</v>
      </c>
      <c r="U19" s="30"/>
      <c r="V19" s="67"/>
      <c r="W19" s="29">
        <f>ZEESHAN!W19+SAQIB!W19</f>
        <v>2842</v>
      </c>
      <c r="X19" s="23">
        <f t="shared" si="8"/>
        <v>242507.86</v>
      </c>
      <c r="Y19" s="18">
        <f>ZEESHAN!Y19+SAQIB!Y19</f>
        <v>419</v>
      </c>
      <c r="Z19" s="24">
        <f t="shared" si="9"/>
        <v>0.1474313863</v>
      </c>
      <c r="AA19" s="25"/>
    </row>
    <row r="20">
      <c r="A20" s="26">
        <v>13.0</v>
      </c>
      <c r="B20" s="27" t="s">
        <v>35</v>
      </c>
      <c r="C20" s="26" t="s">
        <v>34</v>
      </c>
      <c r="D20" s="26">
        <v>64.65</v>
      </c>
      <c r="E20" s="28">
        <v>200.0</v>
      </c>
      <c r="F20" s="29">
        <f t="shared" si="1"/>
        <v>278.3846154</v>
      </c>
      <c r="G20" s="23">
        <f t="shared" si="2"/>
        <v>17997.56538</v>
      </c>
      <c r="H20" s="30"/>
      <c r="I20" s="31"/>
      <c r="J20" s="31">
        <v>278.38461538461536</v>
      </c>
      <c r="K20" s="19">
        <f t="shared" si="3"/>
        <v>17997.56538</v>
      </c>
      <c r="L20" s="31">
        <v>0.0</v>
      </c>
      <c r="M20" s="19">
        <f t="shared" si="4"/>
        <v>0</v>
      </c>
      <c r="N20" s="24">
        <f t="shared" si="5"/>
        <v>0</v>
      </c>
      <c r="O20" s="30">
        <v>278.38461538461536</v>
      </c>
      <c r="P20" s="22">
        <f t="shared" si="6"/>
        <v>17997.56538</v>
      </c>
      <c r="Q20" s="30"/>
      <c r="R20" s="30"/>
      <c r="S20" s="30">
        <v>278.38461538461536</v>
      </c>
      <c r="T20" s="18">
        <f t="shared" si="7"/>
        <v>17997.56538</v>
      </c>
      <c r="U20" s="30"/>
      <c r="V20" s="67"/>
      <c r="W20" s="29">
        <f>ZEESHAN!W20+SAQIB!W20</f>
        <v>1034</v>
      </c>
      <c r="X20" s="23">
        <f t="shared" si="8"/>
        <v>66848.1</v>
      </c>
      <c r="Y20" s="18">
        <f>ZEESHAN!Y20+SAQIB!Y20</f>
        <v>0</v>
      </c>
      <c r="Z20" s="24">
        <f t="shared" si="9"/>
        <v>0</v>
      </c>
      <c r="AA20" s="25"/>
    </row>
    <row r="21" ht="15.75" customHeight="1">
      <c r="A21" s="26">
        <v>14.0</v>
      </c>
      <c r="B21" s="27" t="s">
        <v>36</v>
      </c>
      <c r="C21" s="26" t="s">
        <v>28</v>
      </c>
      <c r="D21" s="26">
        <v>99.39</v>
      </c>
      <c r="E21" s="28">
        <v>150.0</v>
      </c>
      <c r="F21" s="29">
        <f t="shared" si="1"/>
        <v>208.9230769</v>
      </c>
      <c r="G21" s="23">
        <f t="shared" si="2"/>
        <v>20764.86462</v>
      </c>
      <c r="H21" s="30"/>
      <c r="I21" s="31"/>
      <c r="J21" s="31">
        <v>208.92307692307693</v>
      </c>
      <c r="K21" s="19">
        <f t="shared" si="3"/>
        <v>20764.86462</v>
      </c>
      <c r="L21" s="31">
        <v>0.0</v>
      </c>
      <c r="M21" s="19">
        <f t="shared" si="4"/>
        <v>0</v>
      </c>
      <c r="N21" s="24">
        <f t="shared" si="5"/>
        <v>0</v>
      </c>
      <c r="O21" s="30">
        <v>208.92307692307693</v>
      </c>
      <c r="P21" s="22">
        <f t="shared" si="6"/>
        <v>20764.86462</v>
      </c>
      <c r="Q21" s="30"/>
      <c r="R21" s="30"/>
      <c r="S21" s="30">
        <v>208.92307692307693</v>
      </c>
      <c r="T21" s="18">
        <f t="shared" si="7"/>
        <v>20764.86462</v>
      </c>
      <c r="U21" s="30"/>
      <c r="V21" s="67"/>
      <c r="W21" s="29">
        <f>ZEESHAN!W21+SAQIB!W21</f>
        <v>776</v>
      </c>
      <c r="X21" s="23">
        <f t="shared" si="8"/>
        <v>77126.64</v>
      </c>
      <c r="Y21" s="18">
        <f>ZEESHAN!Y21+SAQIB!Y21</f>
        <v>0</v>
      </c>
      <c r="Z21" s="24">
        <f t="shared" si="9"/>
        <v>0</v>
      </c>
      <c r="AA21" s="25"/>
    </row>
    <row r="22" ht="15.75" customHeight="1">
      <c r="A22" s="33">
        <v>15.0</v>
      </c>
      <c r="B22" s="34" t="s">
        <v>37</v>
      </c>
      <c r="C22" s="33" t="s">
        <v>21</v>
      </c>
      <c r="D22" s="33">
        <v>89.64</v>
      </c>
      <c r="E22" s="35">
        <v>300.0</v>
      </c>
      <c r="F22" s="36">
        <f t="shared" si="1"/>
        <v>417.3076923</v>
      </c>
      <c r="G22" s="37">
        <f t="shared" si="2"/>
        <v>37407.46154</v>
      </c>
      <c r="H22" s="38"/>
      <c r="I22" s="39"/>
      <c r="J22" s="39">
        <v>417.30769230769226</v>
      </c>
      <c r="K22" s="19">
        <f t="shared" si="3"/>
        <v>37407.46154</v>
      </c>
      <c r="L22" s="39">
        <v>84.0</v>
      </c>
      <c r="M22" s="19">
        <f t="shared" si="4"/>
        <v>7529.76</v>
      </c>
      <c r="N22" s="24">
        <f t="shared" si="5"/>
        <v>0.2012903226</v>
      </c>
      <c r="O22" s="38">
        <v>417.30769230769226</v>
      </c>
      <c r="P22" s="22">
        <f t="shared" si="6"/>
        <v>37407.46154</v>
      </c>
      <c r="Q22" s="38"/>
      <c r="R22" s="38"/>
      <c r="S22" s="38">
        <v>417.30769230769226</v>
      </c>
      <c r="T22" s="18">
        <f t="shared" si="7"/>
        <v>37407.46154</v>
      </c>
      <c r="U22" s="38"/>
      <c r="V22" s="68"/>
      <c r="W22" s="36">
        <f>ZEESHAN!W22+SAQIB!W22</f>
        <v>1550</v>
      </c>
      <c r="X22" s="23">
        <f t="shared" si="8"/>
        <v>138942</v>
      </c>
      <c r="Y22" s="18">
        <f>ZEESHAN!Y22+SAQIB!Y22</f>
        <v>54</v>
      </c>
      <c r="Z22" s="24">
        <f t="shared" si="9"/>
        <v>0.03483870968</v>
      </c>
      <c r="AA22" s="25"/>
    </row>
    <row r="23" ht="15.75" customHeight="1">
      <c r="A23" s="41" t="s">
        <v>38</v>
      </c>
      <c r="B23" s="7"/>
      <c r="C23" s="8"/>
      <c r="D23" s="42"/>
      <c r="E23" s="43"/>
      <c r="F23" s="44">
        <f>SUM(F8:F22)</f>
        <v>7669.307692</v>
      </c>
      <c r="G23" s="45">
        <f t="shared" si="2"/>
        <v>0</v>
      </c>
      <c r="H23" s="46"/>
      <c r="I23" s="46"/>
      <c r="J23" s="47">
        <f t="shared" ref="J23:M23" si="10">SUM(J8:J22)</f>
        <v>7669.307692</v>
      </c>
      <c r="K23" s="47">
        <f t="shared" si="10"/>
        <v>833477.2815</v>
      </c>
      <c r="L23" s="47">
        <f t="shared" si="10"/>
        <v>2331</v>
      </c>
      <c r="M23" s="47">
        <f t="shared" si="10"/>
        <v>247503.77</v>
      </c>
      <c r="N23" s="24">
        <f t="shared" si="5"/>
        <v>0.3039387769</v>
      </c>
      <c r="O23" s="49">
        <f>SUM(O8:O22)</f>
        <v>7669.307692</v>
      </c>
      <c r="P23" s="50">
        <f t="shared" si="6"/>
        <v>0</v>
      </c>
      <c r="Q23" s="46"/>
      <c r="R23" s="46"/>
      <c r="S23" s="47">
        <f t="shared" ref="S23:T23" si="11">SUM(S8:S22)</f>
        <v>7669.307692</v>
      </c>
      <c r="T23" s="47">
        <f t="shared" si="11"/>
        <v>833477.2815</v>
      </c>
      <c r="U23" s="47"/>
      <c r="V23" s="47"/>
      <c r="W23" s="51">
        <f>SUM(W8:W22)</f>
        <v>28486</v>
      </c>
      <c r="X23" s="52">
        <f t="shared" si="8"/>
        <v>0</v>
      </c>
      <c r="Y23" s="69">
        <f>ZEESHAN!Y23+SAQIB!Y23</f>
        <v>5935</v>
      </c>
      <c r="Z23" s="24">
        <f t="shared" si="9"/>
        <v>0.2083479604</v>
      </c>
    </row>
    <row r="24" ht="15.75" customHeight="1">
      <c r="A24" s="41" t="s">
        <v>39</v>
      </c>
      <c r="B24" s="7"/>
      <c r="C24" s="8"/>
      <c r="D24" s="53"/>
      <c r="E24" s="54">
        <f>SUM(E8:E23)</f>
        <v>5512</v>
      </c>
      <c r="F24" s="55">
        <f>G24</f>
        <v>833477.2815</v>
      </c>
      <c r="G24" s="55">
        <f>SUM(G8:G23)</f>
        <v>833477.2815</v>
      </c>
      <c r="H24" s="55"/>
      <c r="I24" s="55"/>
      <c r="J24" s="70">
        <f>K23</f>
        <v>833477.2815</v>
      </c>
      <c r="K24" s="70"/>
      <c r="L24" s="70">
        <f>M23</f>
        <v>247503.77</v>
      </c>
      <c r="M24" s="70"/>
      <c r="N24" s="71">
        <f t="shared" si="5"/>
        <v>0.2969532289</v>
      </c>
      <c r="O24" s="55">
        <f>P24</f>
        <v>833477.2815</v>
      </c>
      <c r="P24" s="55">
        <f>SUM(P8:P23)</f>
        <v>833477.2815</v>
      </c>
      <c r="Q24" s="55"/>
      <c r="R24" s="55"/>
      <c r="S24" s="55">
        <f>T23</f>
        <v>833477.2815</v>
      </c>
      <c r="T24" s="55"/>
      <c r="U24" s="55"/>
      <c r="V24" s="55"/>
      <c r="W24" s="70">
        <f>X24</f>
        <v>3095772.76</v>
      </c>
      <c r="X24" s="72">
        <f>SUM(X8:X23)</f>
        <v>3095772.76</v>
      </c>
      <c r="Y24" s="73">
        <f>ZEESHAN!Y24+SAQIB!Y24</f>
        <v>543977.51</v>
      </c>
      <c r="Z24" s="74">
        <f t="shared" si="9"/>
        <v>0.1757162273</v>
      </c>
      <c r="AA24" s="58"/>
    </row>
    <row r="25" ht="15.75" customHeight="1">
      <c r="B25" s="62"/>
      <c r="C25" s="62"/>
      <c r="D25" s="62"/>
      <c r="E25" s="62"/>
      <c r="F25" s="63"/>
      <c r="G25" s="62"/>
      <c r="H25" s="62"/>
      <c r="I25" s="62"/>
      <c r="J25" s="62"/>
      <c r="K25" s="62"/>
      <c r="L25" s="62"/>
      <c r="M25" s="62"/>
      <c r="N25" s="62"/>
      <c r="O25" s="64"/>
    </row>
    <row r="26" ht="15.75" customHeight="1">
      <c r="B26" s="65"/>
      <c r="D26" s="42"/>
      <c r="E26" s="42"/>
    </row>
    <row r="27" ht="15.75" customHeight="1">
      <c r="D27" s="42"/>
      <c r="E27" s="42"/>
    </row>
    <row r="28" ht="15.75" customHeight="1">
      <c r="D28" s="42"/>
      <c r="E28" s="42"/>
    </row>
    <row r="29" ht="15.75" customHeight="1">
      <c r="D29" s="42"/>
      <c r="E29" s="42"/>
    </row>
    <row r="30" ht="15.75" customHeight="1">
      <c r="D30" s="42"/>
      <c r="E30" s="42"/>
    </row>
    <row r="31" ht="15.75" customHeight="1">
      <c r="D31" s="42"/>
      <c r="E31" s="42"/>
    </row>
    <row r="32" ht="15.75" customHeight="1">
      <c r="D32" s="42"/>
      <c r="E32" s="42"/>
    </row>
    <row r="33" ht="15.75" customHeight="1">
      <c r="D33" s="42"/>
      <c r="E33" s="42"/>
    </row>
    <row r="34" ht="15.75" customHeight="1">
      <c r="D34" s="42"/>
      <c r="E34" s="42"/>
    </row>
    <row r="35" ht="15.75" customHeight="1">
      <c r="D35" s="42"/>
      <c r="E35" s="42"/>
    </row>
    <row r="36" ht="15.75" customHeight="1">
      <c r="D36" s="42"/>
      <c r="E36" s="42"/>
    </row>
    <row r="37" ht="15.75" customHeight="1">
      <c r="D37" s="42"/>
      <c r="E37" s="42"/>
    </row>
    <row r="38" ht="15.75" customHeight="1">
      <c r="D38" s="42"/>
      <c r="E38" s="42"/>
    </row>
    <row r="39" ht="15.75" customHeight="1">
      <c r="D39" s="42"/>
      <c r="E39" s="42"/>
    </row>
    <row r="40" ht="15.75" customHeight="1">
      <c r="D40" s="42"/>
      <c r="E40" s="42"/>
    </row>
    <row r="41" ht="15.75" customHeight="1">
      <c r="D41" s="42"/>
      <c r="E41" s="42"/>
    </row>
    <row r="42" ht="15.75" customHeight="1">
      <c r="D42" s="42"/>
      <c r="E42" s="42"/>
    </row>
    <row r="43" ht="15.75" customHeight="1">
      <c r="D43" s="42"/>
      <c r="E43" s="42"/>
    </row>
    <row r="44" ht="15.75" customHeight="1">
      <c r="D44" s="42"/>
      <c r="E44" s="42"/>
    </row>
    <row r="45" ht="15.75" customHeight="1">
      <c r="D45" s="42"/>
      <c r="E45" s="42"/>
    </row>
    <row r="46" ht="15.75" customHeight="1">
      <c r="D46" s="42"/>
      <c r="E46" s="42"/>
    </row>
    <row r="47" ht="15.75" customHeight="1">
      <c r="D47" s="42"/>
      <c r="E47" s="42"/>
    </row>
    <row r="48" ht="15.75" customHeight="1">
      <c r="D48" s="42"/>
      <c r="E48" s="42"/>
    </row>
    <row r="49" ht="15.75" customHeight="1">
      <c r="D49" s="42"/>
      <c r="E49" s="42"/>
    </row>
    <row r="50" ht="15.75" customHeight="1">
      <c r="D50" s="42"/>
      <c r="E50" s="42"/>
    </row>
    <row r="51" ht="15.75" customHeight="1">
      <c r="D51" s="42"/>
      <c r="E51" s="42"/>
    </row>
    <row r="52" ht="15.75" customHeight="1">
      <c r="D52" s="42"/>
      <c r="E52" s="42"/>
    </row>
    <row r="53" ht="15.75" customHeight="1">
      <c r="D53" s="42"/>
      <c r="E53" s="42"/>
    </row>
    <row r="54" ht="15.75" customHeight="1">
      <c r="D54" s="42"/>
      <c r="E54" s="42"/>
    </row>
    <row r="55" ht="15.75" customHeight="1">
      <c r="D55" s="42"/>
      <c r="E55" s="42"/>
    </row>
    <row r="56" ht="15.75" customHeight="1">
      <c r="D56" s="42"/>
      <c r="E56" s="42"/>
    </row>
    <row r="57" ht="15.75" customHeight="1">
      <c r="D57" s="42"/>
      <c r="E57" s="42"/>
    </row>
    <row r="58" ht="15.75" customHeight="1">
      <c r="D58" s="42"/>
      <c r="E58" s="42"/>
    </row>
    <row r="59" ht="15.75" customHeight="1">
      <c r="D59" s="42"/>
      <c r="E59" s="42"/>
    </row>
    <row r="60" ht="15.75" customHeight="1">
      <c r="D60" s="42"/>
      <c r="E60" s="42"/>
    </row>
    <row r="61" ht="15.75" customHeight="1">
      <c r="D61" s="42"/>
      <c r="E61" s="42"/>
    </row>
    <row r="62" ht="15.75" customHeight="1">
      <c r="D62" s="42"/>
      <c r="E62" s="42"/>
    </row>
    <row r="63" ht="15.75" customHeight="1">
      <c r="D63" s="42"/>
      <c r="E63" s="42"/>
    </row>
    <row r="64" ht="15.75" customHeight="1">
      <c r="D64" s="42"/>
      <c r="E64" s="42"/>
    </row>
    <row r="65" ht="15.75" customHeight="1">
      <c r="D65" s="42"/>
      <c r="E65" s="42"/>
    </row>
    <row r="66" ht="15.75" customHeight="1">
      <c r="D66" s="42"/>
      <c r="E66" s="42"/>
    </row>
    <row r="67" ht="15.75" customHeight="1">
      <c r="D67" s="42"/>
      <c r="E67" s="42"/>
    </row>
    <row r="68" ht="15.75" customHeight="1">
      <c r="D68" s="42"/>
      <c r="E68" s="42"/>
    </row>
    <row r="69" ht="15.75" customHeight="1">
      <c r="D69" s="42"/>
      <c r="E69" s="42"/>
    </row>
    <row r="70" ht="15.75" customHeight="1">
      <c r="D70" s="42"/>
      <c r="E70" s="42"/>
    </row>
    <row r="71" ht="15.75" customHeight="1">
      <c r="D71" s="42"/>
      <c r="E71" s="42"/>
    </row>
    <row r="72" ht="15.75" customHeight="1">
      <c r="D72" s="42"/>
      <c r="E72" s="42"/>
    </row>
    <row r="73" ht="15.75" customHeight="1">
      <c r="D73" s="42"/>
      <c r="E73" s="42"/>
    </row>
    <row r="74" ht="15.75" customHeight="1">
      <c r="D74" s="42"/>
      <c r="E74" s="42"/>
    </row>
    <row r="75" ht="15.75" customHeight="1">
      <c r="D75" s="42"/>
      <c r="E75" s="42"/>
    </row>
    <row r="76" ht="15.75" customHeight="1">
      <c r="D76" s="42"/>
      <c r="E76" s="42"/>
    </row>
    <row r="77" ht="15.75" customHeight="1">
      <c r="D77" s="42"/>
      <c r="E77" s="42"/>
    </row>
    <row r="78" ht="15.75" customHeight="1">
      <c r="D78" s="42"/>
      <c r="E78" s="42"/>
    </row>
    <row r="79" ht="15.75" customHeight="1">
      <c r="D79" s="42"/>
      <c r="E79" s="42"/>
    </row>
    <row r="80" ht="15.75" customHeight="1">
      <c r="D80" s="42"/>
      <c r="E80" s="42"/>
    </row>
    <row r="81" ht="15.75" customHeight="1">
      <c r="D81" s="42"/>
      <c r="E81" s="42"/>
    </row>
    <row r="82" ht="15.75" customHeight="1">
      <c r="D82" s="42"/>
      <c r="E82" s="42"/>
    </row>
    <row r="83" ht="15.75" customHeight="1">
      <c r="D83" s="42"/>
      <c r="E83" s="42"/>
    </row>
    <row r="84" ht="15.75" customHeight="1">
      <c r="D84" s="42"/>
      <c r="E84" s="42"/>
    </row>
    <row r="85" ht="15.75" customHeight="1">
      <c r="D85" s="42"/>
      <c r="E85" s="42"/>
    </row>
    <row r="86" ht="15.75" customHeight="1">
      <c r="D86" s="42"/>
      <c r="E86" s="42"/>
    </row>
    <row r="87" ht="15.75" customHeight="1">
      <c r="D87" s="42"/>
      <c r="E87" s="42"/>
    </row>
    <row r="88" ht="15.75" customHeight="1">
      <c r="D88" s="42"/>
      <c r="E88" s="42"/>
    </row>
    <row r="89" ht="15.75" customHeight="1">
      <c r="D89" s="42"/>
      <c r="E89" s="42"/>
    </row>
    <row r="90" ht="15.75" customHeight="1">
      <c r="D90" s="42"/>
      <c r="E90" s="42"/>
    </row>
    <row r="91" ht="15.75" customHeight="1">
      <c r="D91" s="42"/>
      <c r="E91" s="42"/>
    </row>
    <row r="92" ht="15.75" customHeight="1">
      <c r="D92" s="42"/>
      <c r="E92" s="42"/>
    </row>
    <row r="93" ht="15.75" customHeight="1">
      <c r="D93" s="42"/>
      <c r="E93" s="42"/>
    </row>
    <row r="94" ht="15.75" customHeight="1">
      <c r="D94" s="42"/>
      <c r="E94" s="42"/>
    </row>
    <row r="95" ht="15.75" customHeight="1">
      <c r="D95" s="42"/>
      <c r="E95" s="42"/>
    </row>
    <row r="96" ht="15.75" customHeight="1">
      <c r="D96" s="42"/>
      <c r="E96" s="42"/>
    </row>
    <row r="97" ht="15.75" customHeight="1">
      <c r="D97" s="42"/>
      <c r="E97" s="42"/>
    </row>
    <row r="98" ht="15.75" customHeight="1">
      <c r="D98" s="42"/>
      <c r="E98" s="42"/>
    </row>
    <row r="99" ht="15.75" customHeight="1">
      <c r="D99" s="42"/>
      <c r="E99" s="42"/>
    </row>
    <row r="100" ht="15.75" customHeight="1">
      <c r="D100" s="42"/>
      <c r="E100" s="42"/>
    </row>
    <row r="101" ht="15.75" customHeight="1">
      <c r="D101" s="42"/>
      <c r="E101" s="42"/>
    </row>
    <row r="102" ht="15.75" customHeight="1">
      <c r="D102" s="42"/>
      <c r="E102" s="42"/>
    </row>
    <row r="103" ht="15.75" customHeight="1">
      <c r="D103" s="42"/>
      <c r="E103" s="42"/>
    </row>
    <row r="104" ht="15.75" customHeight="1">
      <c r="D104" s="42"/>
      <c r="E104" s="42"/>
    </row>
    <row r="105" ht="15.75" customHeight="1">
      <c r="D105" s="42"/>
      <c r="E105" s="42"/>
    </row>
    <row r="106" ht="15.75" customHeight="1">
      <c r="D106" s="42"/>
      <c r="E106" s="42"/>
    </row>
    <row r="107" ht="15.75" customHeight="1">
      <c r="D107" s="42"/>
      <c r="E107" s="42"/>
    </row>
    <row r="108" ht="15.75" customHeight="1">
      <c r="D108" s="42"/>
      <c r="E108" s="42"/>
    </row>
    <row r="109" ht="15.75" customHeight="1">
      <c r="D109" s="42"/>
      <c r="E109" s="42"/>
    </row>
    <row r="110" ht="15.75" customHeight="1">
      <c r="D110" s="42"/>
      <c r="E110" s="42"/>
    </row>
    <row r="111" ht="15.75" customHeight="1">
      <c r="D111" s="42"/>
      <c r="E111" s="42"/>
    </row>
    <row r="112" ht="15.75" customHeight="1">
      <c r="D112" s="42"/>
      <c r="E112" s="42"/>
    </row>
    <row r="113" ht="15.75" customHeight="1">
      <c r="D113" s="42"/>
      <c r="E113" s="42"/>
    </row>
    <row r="114" ht="15.75" customHeight="1">
      <c r="D114" s="42"/>
      <c r="E114" s="42"/>
    </row>
    <row r="115" ht="15.75" customHeight="1">
      <c r="D115" s="42"/>
      <c r="E115" s="42"/>
    </row>
    <row r="116" ht="15.75" customHeight="1">
      <c r="D116" s="42"/>
      <c r="E116" s="42"/>
    </row>
    <row r="117" ht="15.75" customHeight="1">
      <c r="D117" s="42"/>
      <c r="E117" s="42"/>
    </row>
    <row r="118" ht="15.75" customHeight="1">
      <c r="D118" s="42"/>
      <c r="E118" s="42"/>
    </row>
    <row r="119" ht="15.75" customHeight="1">
      <c r="D119" s="42"/>
      <c r="E119" s="42"/>
    </row>
    <row r="120" ht="15.75" customHeight="1">
      <c r="D120" s="42"/>
      <c r="E120" s="42"/>
    </row>
    <row r="121" ht="15.75" customHeight="1">
      <c r="D121" s="42"/>
      <c r="E121" s="42"/>
    </row>
    <row r="122" ht="15.75" customHeight="1">
      <c r="D122" s="42"/>
      <c r="E122" s="42"/>
    </row>
    <row r="123" ht="15.75" customHeight="1">
      <c r="D123" s="42"/>
      <c r="E123" s="42"/>
    </row>
    <row r="124" ht="15.75" customHeight="1">
      <c r="D124" s="42"/>
      <c r="E124" s="42"/>
    </row>
    <row r="125" ht="15.75" customHeight="1">
      <c r="D125" s="42"/>
      <c r="E125" s="42"/>
    </row>
    <row r="126" ht="15.75" customHeight="1">
      <c r="D126" s="42"/>
      <c r="E126" s="42"/>
    </row>
    <row r="127" ht="15.75" customHeight="1">
      <c r="D127" s="42"/>
      <c r="E127" s="42"/>
    </row>
    <row r="128" ht="15.75" customHeight="1">
      <c r="D128" s="42"/>
      <c r="E128" s="42"/>
    </row>
    <row r="129" ht="15.75" customHeight="1">
      <c r="D129" s="42"/>
      <c r="E129" s="42"/>
    </row>
    <row r="130" ht="15.75" customHeight="1">
      <c r="D130" s="42"/>
      <c r="E130" s="42"/>
    </row>
    <row r="131" ht="15.75" customHeight="1">
      <c r="D131" s="42"/>
      <c r="E131" s="42"/>
    </row>
    <row r="132" ht="15.75" customHeight="1">
      <c r="D132" s="42"/>
      <c r="E132" s="42"/>
    </row>
    <row r="133" ht="15.75" customHeight="1">
      <c r="D133" s="42"/>
      <c r="E133" s="42"/>
    </row>
    <row r="134" ht="15.75" customHeight="1">
      <c r="D134" s="42"/>
      <c r="E134" s="42"/>
    </row>
    <row r="135" ht="15.75" customHeight="1">
      <c r="D135" s="42"/>
      <c r="E135" s="42"/>
    </row>
    <row r="136" ht="15.75" customHeight="1">
      <c r="D136" s="42"/>
      <c r="E136" s="42"/>
    </row>
    <row r="137" ht="15.75" customHeight="1">
      <c r="D137" s="42"/>
      <c r="E137" s="42"/>
    </row>
    <row r="138" ht="15.75" customHeight="1">
      <c r="D138" s="42"/>
      <c r="E138" s="42"/>
    </row>
    <row r="139" ht="15.75" customHeight="1">
      <c r="D139" s="42"/>
      <c r="E139" s="42"/>
    </row>
    <row r="140" ht="15.75" customHeight="1">
      <c r="D140" s="42"/>
      <c r="E140" s="42"/>
    </row>
    <row r="141" ht="15.75" customHeight="1">
      <c r="D141" s="42"/>
      <c r="E141" s="42"/>
    </row>
    <row r="142" ht="15.75" customHeight="1">
      <c r="D142" s="42"/>
      <c r="E142" s="42"/>
    </row>
    <row r="143" ht="15.75" customHeight="1">
      <c r="D143" s="42"/>
      <c r="E143" s="42"/>
    </row>
    <row r="144" ht="15.75" customHeight="1">
      <c r="D144" s="42"/>
      <c r="E144" s="42"/>
    </row>
    <row r="145" ht="15.75" customHeight="1">
      <c r="D145" s="42"/>
      <c r="E145" s="42"/>
    </row>
    <row r="146" ht="15.75" customHeight="1">
      <c r="D146" s="42"/>
      <c r="E146" s="42"/>
    </row>
    <row r="147" ht="15.75" customHeight="1">
      <c r="D147" s="42"/>
      <c r="E147" s="42"/>
    </row>
    <row r="148" ht="15.75" customHeight="1">
      <c r="D148" s="42"/>
      <c r="E148" s="42"/>
    </row>
    <row r="149" ht="15.75" customHeight="1">
      <c r="D149" s="42"/>
      <c r="E149" s="42"/>
    </row>
    <row r="150" ht="15.75" customHeight="1">
      <c r="D150" s="42"/>
      <c r="E150" s="42"/>
    </row>
    <row r="151" ht="15.75" customHeight="1">
      <c r="D151" s="42"/>
      <c r="E151" s="42"/>
    </row>
    <row r="152" ht="15.75" customHeight="1">
      <c r="D152" s="42"/>
      <c r="E152" s="42"/>
    </row>
    <row r="153" ht="15.75" customHeight="1">
      <c r="D153" s="42"/>
      <c r="E153" s="42"/>
    </row>
    <row r="154" ht="15.75" customHeight="1">
      <c r="D154" s="42"/>
      <c r="E154" s="42"/>
    </row>
    <row r="155" ht="15.75" customHeight="1">
      <c r="D155" s="42"/>
      <c r="E155" s="42"/>
    </row>
    <row r="156" ht="15.75" customHeight="1">
      <c r="D156" s="42"/>
      <c r="E156" s="42"/>
    </row>
    <row r="157" ht="15.75" customHeight="1">
      <c r="D157" s="42"/>
      <c r="E157" s="42"/>
    </row>
    <row r="158" ht="15.75" customHeight="1">
      <c r="D158" s="42"/>
      <c r="E158" s="42"/>
    </row>
    <row r="159" ht="15.75" customHeight="1">
      <c r="D159" s="42"/>
      <c r="E159" s="42"/>
    </row>
    <row r="160" ht="15.75" customHeight="1">
      <c r="D160" s="42"/>
      <c r="E160" s="42"/>
    </row>
    <row r="161" ht="15.75" customHeight="1">
      <c r="D161" s="42"/>
      <c r="E161" s="42"/>
    </row>
    <row r="162" ht="15.75" customHeight="1">
      <c r="D162" s="42"/>
      <c r="E162" s="42"/>
    </row>
    <row r="163" ht="15.75" customHeight="1">
      <c r="D163" s="42"/>
      <c r="E163" s="42"/>
    </row>
    <row r="164" ht="15.75" customHeight="1">
      <c r="D164" s="42"/>
      <c r="E164" s="42"/>
    </row>
    <row r="165" ht="15.75" customHeight="1">
      <c r="D165" s="42"/>
      <c r="E165" s="42"/>
    </row>
    <row r="166" ht="15.75" customHeight="1">
      <c r="D166" s="42"/>
      <c r="E166" s="42"/>
    </row>
    <row r="167" ht="15.75" customHeight="1">
      <c r="D167" s="42"/>
      <c r="E167" s="42"/>
    </row>
    <row r="168" ht="15.75" customHeight="1">
      <c r="D168" s="42"/>
      <c r="E168" s="42"/>
    </row>
    <row r="169" ht="15.75" customHeight="1">
      <c r="D169" s="42"/>
      <c r="E169" s="42"/>
    </row>
    <row r="170" ht="15.75" customHeight="1">
      <c r="D170" s="42"/>
      <c r="E170" s="42"/>
    </row>
    <row r="171" ht="15.75" customHeight="1">
      <c r="D171" s="42"/>
      <c r="E171" s="42"/>
    </row>
    <row r="172" ht="15.75" customHeight="1">
      <c r="D172" s="42"/>
      <c r="E172" s="42"/>
    </row>
    <row r="173" ht="15.75" customHeight="1">
      <c r="D173" s="42"/>
      <c r="E173" s="42"/>
    </row>
    <row r="174" ht="15.75" customHeight="1">
      <c r="D174" s="42"/>
      <c r="E174" s="42"/>
    </row>
    <row r="175" ht="15.75" customHeight="1">
      <c r="D175" s="42"/>
      <c r="E175" s="42"/>
    </row>
    <row r="176" ht="15.75" customHeight="1">
      <c r="D176" s="42"/>
      <c r="E176" s="42"/>
    </row>
    <row r="177" ht="15.75" customHeight="1">
      <c r="D177" s="42"/>
      <c r="E177" s="42"/>
    </row>
    <row r="178" ht="15.75" customHeight="1">
      <c r="D178" s="42"/>
      <c r="E178" s="42"/>
    </row>
    <row r="179" ht="15.75" customHeight="1">
      <c r="D179" s="42"/>
      <c r="E179" s="42"/>
    </row>
    <row r="180" ht="15.75" customHeight="1">
      <c r="D180" s="42"/>
      <c r="E180" s="42"/>
    </row>
    <row r="181" ht="15.75" customHeight="1">
      <c r="D181" s="42"/>
      <c r="E181" s="42"/>
    </row>
    <row r="182" ht="15.75" customHeight="1">
      <c r="D182" s="42"/>
      <c r="E182" s="42"/>
    </row>
    <row r="183" ht="15.75" customHeight="1">
      <c r="D183" s="42"/>
      <c r="E183" s="42"/>
    </row>
    <row r="184" ht="15.75" customHeight="1">
      <c r="D184" s="42"/>
      <c r="E184" s="42"/>
    </row>
    <row r="185" ht="15.75" customHeight="1">
      <c r="D185" s="42"/>
      <c r="E185" s="42"/>
    </row>
    <row r="186" ht="15.75" customHeight="1">
      <c r="D186" s="42"/>
      <c r="E186" s="42"/>
    </row>
    <row r="187" ht="15.75" customHeight="1">
      <c r="D187" s="42"/>
      <c r="E187" s="42"/>
    </row>
    <row r="188" ht="15.75" customHeight="1">
      <c r="D188" s="42"/>
      <c r="E188" s="42"/>
    </row>
    <row r="189" ht="15.75" customHeight="1">
      <c r="D189" s="42"/>
      <c r="E189" s="42"/>
    </row>
    <row r="190" ht="15.75" customHeight="1">
      <c r="D190" s="42"/>
      <c r="E190" s="42"/>
    </row>
    <row r="191" ht="15.75" customHeight="1">
      <c r="D191" s="42"/>
      <c r="E191" s="42"/>
    </row>
    <row r="192" ht="15.75" customHeight="1">
      <c r="D192" s="42"/>
      <c r="E192" s="42"/>
    </row>
    <row r="193" ht="15.75" customHeight="1">
      <c r="D193" s="42"/>
      <c r="E193" s="42"/>
    </row>
    <row r="194" ht="15.75" customHeight="1">
      <c r="D194" s="42"/>
      <c r="E194" s="42"/>
    </row>
    <row r="195" ht="15.75" customHeight="1">
      <c r="D195" s="42"/>
      <c r="E195" s="42"/>
    </row>
    <row r="196" ht="15.75" customHeight="1">
      <c r="D196" s="42"/>
      <c r="E196" s="42"/>
    </row>
    <row r="197" ht="15.75" customHeight="1">
      <c r="D197" s="42"/>
      <c r="E197" s="42"/>
    </row>
    <row r="198" ht="15.75" customHeight="1">
      <c r="D198" s="42"/>
      <c r="E198" s="42"/>
    </row>
    <row r="199" ht="15.75" customHeight="1">
      <c r="D199" s="42"/>
      <c r="E199" s="42"/>
    </row>
    <row r="200" ht="15.75" customHeight="1">
      <c r="D200" s="42"/>
      <c r="E200" s="42"/>
    </row>
    <row r="201" ht="15.75" customHeight="1">
      <c r="D201" s="42"/>
      <c r="E201" s="42"/>
    </row>
    <row r="202" ht="15.75" customHeight="1">
      <c r="D202" s="42"/>
      <c r="E202" s="42"/>
    </row>
    <row r="203" ht="15.75" customHeight="1">
      <c r="D203" s="42"/>
      <c r="E203" s="42"/>
    </row>
    <row r="204" ht="15.75" customHeight="1">
      <c r="D204" s="42"/>
      <c r="E204" s="42"/>
    </row>
    <row r="205" ht="15.75" customHeight="1">
      <c r="D205" s="42"/>
      <c r="E205" s="42"/>
    </row>
    <row r="206" ht="15.75" customHeight="1">
      <c r="D206" s="42"/>
      <c r="E206" s="42"/>
    </row>
    <row r="207" ht="15.75" customHeight="1">
      <c r="D207" s="42"/>
      <c r="E207" s="42"/>
    </row>
    <row r="208" ht="15.75" customHeight="1">
      <c r="D208" s="42"/>
      <c r="E208" s="42"/>
    </row>
    <row r="209" ht="15.75" customHeight="1">
      <c r="D209" s="42"/>
      <c r="E209" s="42"/>
    </row>
    <row r="210" ht="15.75" customHeight="1">
      <c r="D210" s="42"/>
      <c r="E210" s="42"/>
    </row>
    <row r="211" ht="15.75" customHeight="1">
      <c r="D211" s="42"/>
      <c r="E211" s="42"/>
    </row>
    <row r="212" ht="15.75" customHeight="1">
      <c r="D212" s="42"/>
      <c r="E212" s="42"/>
    </row>
    <row r="213" ht="15.75" customHeight="1">
      <c r="D213" s="42"/>
      <c r="E213" s="42"/>
    </row>
    <row r="214" ht="15.75" customHeight="1">
      <c r="D214" s="42"/>
      <c r="E214" s="42"/>
    </row>
    <row r="215" ht="15.75" customHeight="1">
      <c r="D215" s="42"/>
      <c r="E215" s="42"/>
    </row>
    <row r="216" ht="15.75" customHeight="1">
      <c r="D216" s="42"/>
      <c r="E216" s="42"/>
    </row>
    <row r="217" ht="15.75" customHeight="1">
      <c r="D217" s="42"/>
      <c r="E217" s="42"/>
    </row>
    <row r="218" ht="15.75" customHeight="1">
      <c r="D218" s="42"/>
      <c r="E218" s="42"/>
    </row>
    <row r="219" ht="15.75" customHeight="1">
      <c r="D219" s="42"/>
      <c r="E219" s="42"/>
    </row>
    <row r="220" ht="15.75" customHeight="1">
      <c r="D220" s="42"/>
      <c r="E220" s="42"/>
    </row>
    <row r="221" ht="15.75" customHeight="1">
      <c r="D221" s="42"/>
      <c r="E221" s="42"/>
    </row>
    <row r="222" ht="15.75" customHeight="1">
      <c r="D222" s="42"/>
      <c r="E222" s="42"/>
    </row>
    <row r="223" ht="15.75" customHeight="1">
      <c r="D223" s="42"/>
      <c r="E223" s="42"/>
    </row>
    <row r="224" ht="15.75" customHeight="1">
      <c r="D224" s="42"/>
      <c r="E224" s="42"/>
    </row>
    <row r="225" ht="15.75" customHeight="1">
      <c r="D225" s="42"/>
      <c r="E225" s="42"/>
    </row>
    <row r="226" ht="15.75" customHeight="1">
      <c r="D226" s="42"/>
      <c r="E226" s="42"/>
    </row>
    <row r="227" ht="15.75" customHeight="1">
      <c r="D227" s="42"/>
      <c r="E227" s="42"/>
    </row>
    <row r="228" ht="15.75" customHeight="1">
      <c r="D228" s="42"/>
      <c r="E228" s="42"/>
    </row>
    <row r="229" ht="15.75" customHeight="1">
      <c r="D229" s="42"/>
      <c r="E229" s="42"/>
    </row>
    <row r="230" ht="15.75" customHeight="1">
      <c r="D230" s="42"/>
      <c r="E230" s="42"/>
    </row>
    <row r="231" ht="15.75" customHeight="1">
      <c r="D231" s="42"/>
      <c r="E231" s="42"/>
    </row>
    <row r="232" ht="15.75" customHeight="1">
      <c r="D232" s="42"/>
      <c r="E232" s="42"/>
    </row>
    <row r="233" ht="15.75" customHeight="1">
      <c r="D233" s="42"/>
      <c r="E233" s="42"/>
    </row>
    <row r="234" ht="15.75" customHeight="1">
      <c r="D234" s="42"/>
      <c r="E234" s="42"/>
    </row>
    <row r="235" ht="15.75" customHeight="1">
      <c r="D235" s="42"/>
      <c r="E235" s="42"/>
    </row>
    <row r="236" ht="15.75" customHeight="1">
      <c r="D236" s="42"/>
      <c r="E236" s="42"/>
    </row>
    <row r="237" ht="15.75" customHeight="1">
      <c r="D237" s="42"/>
      <c r="E237" s="42"/>
    </row>
    <row r="238" ht="15.75" customHeight="1">
      <c r="D238" s="42"/>
      <c r="E238" s="42"/>
    </row>
    <row r="239" ht="15.75" customHeight="1">
      <c r="D239" s="42"/>
      <c r="E239" s="42"/>
    </row>
    <row r="240" ht="15.75" customHeight="1">
      <c r="D240" s="42"/>
      <c r="E240" s="42"/>
    </row>
    <row r="241" ht="15.75" customHeight="1">
      <c r="D241" s="42"/>
      <c r="E241" s="42"/>
    </row>
    <row r="242" ht="15.75" customHeight="1">
      <c r="D242" s="42"/>
      <c r="E242" s="42"/>
    </row>
    <row r="243" ht="15.75" customHeight="1">
      <c r="D243" s="42"/>
      <c r="E243" s="42"/>
    </row>
    <row r="244" ht="15.75" customHeight="1">
      <c r="D244" s="42"/>
      <c r="E244" s="42"/>
    </row>
    <row r="245" ht="15.75" customHeight="1">
      <c r="D245" s="42"/>
      <c r="E245" s="42"/>
    </row>
    <row r="246" ht="15.75" customHeight="1">
      <c r="D246" s="42"/>
      <c r="E246" s="42"/>
    </row>
    <row r="247" ht="15.75" customHeight="1">
      <c r="D247" s="42"/>
      <c r="E247" s="42"/>
    </row>
    <row r="248" ht="15.75" customHeight="1">
      <c r="D248" s="42"/>
      <c r="E248" s="42"/>
    </row>
    <row r="249" ht="15.75" customHeight="1">
      <c r="D249" s="42"/>
      <c r="E249" s="42"/>
    </row>
    <row r="250" ht="15.75" customHeight="1">
      <c r="D250" s="42"/>
      <c r="E250" s="42"/>
    </row>
    <row r="251" ht="15.75" customHeight="1">
      <c r="D251" s="42"/>
      <c r="E251" s="42"/>
    </row>
    <row r="252" ht="15.75" customHeight="1">
      <c r="D252" s="42"/>
      <c r="E252" s="42"/>
    </row>
    <row r="253" ht="15.75" customHeight="1">
      <c r="D253" s="42"/>
      <c r="E253" s="42"/>
    </row>
    <row r="254" ht="15.75" customHeight="1">
      <c r="D254" s="42"/>
      <c r="E254" s="42"/>
    </row>
    <row r="255" ht="15.75" customHeight="1">
      <c r="D255" s="42"/>
      <c r="E255" s="42"/>
    </row>
    <row r="256" ht="15.75" customHeight="1">
      <c r="D256" s="42"/>
      <c r="E256" s="42"/>
    </row>
    <row r="257" ht="15.75" customHeight="1">
      <c r="D257" s="42"/>
      <c r="E257" s="42"/>
    </row>
    <row r="258" ht="15.75" customHeight="1">
      <c r="D258" s="42"/>
      <c r="E258" s="42"/>
    </row>
    <row r="259" ht="15.75" customHeight="1">
      <c r="D259" s="42"/>
      <c r="E259" s="42"/>
    </row>
    <row r="260" ht="15.75" customHeight="1">
      <c r="D260" s="42"/>
      <c r="E260" s="42"/>
    </row>
    <row r="261" ht="15.75" customHeight="1">
      <c r="D261" s="42"/>
      <c r="E261" s="42"/>
    </row>
    <row r="262" ht="15.75" customHeight="1">
      <c r="D262" s="42"/>
      <c r="E262" s="42"/>
    </row>
    <row r="263" ht="15.75" customHeight="1">
      <c r="D263" s="42"/>
      <c r="E263" s="42"/>
    </row>
    <row r="264" ht="15.75" customHeight="1">
      <c r="D264" s="42"/>
      <c r="E264" s="42"/>
    </row>
    <row r="265" ht="15.75" customHeight="1">
      <c r="D265" s="42"/>
      <c r="E265" s="42"/>
    </row>
    <row r="266" ht="15.75" customHeight="1">
      <c r="D266" s="42"/>
      <c r="E266" s="42"/>
    </row>
    <row r="267" ht="15.75" customHeight="1">
      <c r="D267" s="42"/>
      <c r="E267" s="42"/>
    </row>
    <row r="268" ht="15.75" customHeight="1">
      <c r="D268" s="42"/>
      <c r="E268" s="42"/>
    </row>
    <row r="269" ht="15.75" customHeight="1">
      <c r="D269" s="42"/>
      <c r="E269" s="42"/>
    </row>
    <row r="270" ht="15.75" customHeight="1">
      <c r="D270" s="42"/>
      <c r="E270" s="42"/>
    </row>
    <row r="271" ht="15.75" customHeight="1">
      <c r="D271" s="42"/>
      <c r="E271" s="42"/>
    </row>
    <row r="272" ht="15.75" customHeight="1">
      <c r="D272" s="42"/>
      <c r="E272" s="42"/>
    </row>
    <row r="273" ht="15.75" customHeight="1">
      <c r="D273" s="42"/>
      <c r="E273" s="42"/>
    </row>
    <row r="274" ht="15.75" customHeight="1">
      <c r="D274" s="42"/>
      <c r="E274" s="42"/>
    </row>
    <row r="275" ht="15.75" customHeight="1">
      <c r="D275" s="42"/>
      <c r="E275" s="42"/>
    </row>
    <row r="276" ht="15.75" customHeight="1">
      <c r="D276" s="42"/>
      <c r="E276" s="42"/>
    </row>
    <row r="277" ht="15.75" customHeight="1">
      <c r="D277" s="42"/>
      <c r="E277" s="42"/>
    </row>
    <row r="278" ht="15.75" customHeight="1">
      <c r="D278" s="42"/>
      <c r="E278" s="42"/>
    </row>
    <row r="279" ht="15.75" customHeight="1">
      <c r="D279" s="42"/>
      <c r="E279" s="42"/>
    </row>
    <row r="280" ht="15.75" customHeight="1">
      <c r="D280" s="42"/>
      <c r="E280" s="42"/>
    </row>
    <row r="281" ht="15.75" customHeight="1">
      <c r="D281" s="42"/>
      <c r="E281" s="42"/>
    </row>
    <row r="282" ht="15.75" customHeight="1">
      <c r="D282" s="42"/>
      <c r="E282" s="42"/>
    </row>
    <row r="283" ht="15.75" customHeight="1">
      <c r="D283" s="42"/>
      <c r="E283" s="42"/>
    </row>
    <row r="284" ht="15.75" customHeight="1">
      <c r="D284" s="42"/>
      <c r="E284" s="42"/>
    </row>
    <row r="285" ht="15.75" customHeight="1">
      <c r="D285" s="42"/>
      <c r="E285" s="42"/>
    </row>
    <row r="286" ht="15.75" customHeight="1">
      <c r="D286" s="42"/>
      <c r="E286" s="42"/>
    </row>
    <row r="287" ht="15.75" customHeight="1">
      <c r="D287" s="42"/>
      <c r="E287" s="42"/>
    </row>
    <row r="288" ht="15.75" customHeight="1">
      <c r="D288" s="42"/>
      <c r="E288" s="42"/>
    </row>
    <row r="289" ht="15.75" customHeight="1">
      <c r="D289" s="42"/>
      <c r="E289" s="42"/>
    </row>
    <row r="290" ht="15.75" customHeight="1">
      <c r="D290" s="42"/>
      <c r="E290" s="42"/>
    </row>
    <row r="291" ht="15.75" customHeight="1">
      <c r="D291" s="42"/>
      <c r="E291" s="42"/>
    </row>
    <row r="292" ht="15.75" customHeight="1">
      <c r="D292" s="42"/>
      <c r="E292" s="42"/>
    </row>
    <row r="293" ht="15.75" customHeight="1">
      <c r="D293" s="42"/>
      <c r="E293" s="42"/>
    </row>
    <row r="294" ht="15.75" customHeight="1">
      <c r="D294" s="42"/>
      <c r="E294" s="42"/>
    </row>
    <row r="295" ht="15.75" customHeight="1">
      <c r="D295" s="42"/>
      <c r="E295" s="42"/>
    </row>
    <row r="296" ht="15.75" customHeight="1">
      <c r="D296" s="42"/>
      <c r="E296" s="42"/>
    </row>
    <row r="297" ht="15.75" customHeight="1">
      <c r="D297" s="42"/>
      <c r="E297" s="42"/>
    </row>
    <row r="298" ht="15.75" customHeight="1">
      <c r="D298" s="42"/>
      <c r="E298" s="42"/>
    </row>
    <row r="299" ht="15.75" customHeight="1">
      <c r="D299" s="42"/>
      <c r="E299" s="42"/>
    </row>
    <row r="300" ht="15.75" customHeight="1">
      <c r="D300" s="42"/>
      <c r="E300" s="42"/>
    </row>
    <row r="301" ht="15.75" customHeight="1">
      <c r="D301" s="42"/>
      <c r="E301" s="42"/>
    </row>
    <row r="302" ht="15.75" customHeight="1">
      <c r="D302" s="42"/>
      <c r="E302" s="42"/>
    </row>
    <row r="303" ht="15.75" customHeight="1">
      <c r="D303" s="42"/>
      <c r="E303" s="42"/>
    </row>
    <row r="304" ht="15.75" customHeight="1">
      <c r="D304" s="42"/>
      <c r="E304" s="42"/>
    </row>
    <row r="305" ht="15.75" customHeight="1">
      <c r="D305" s="42"/>
      <c r="E305" s="42"/>
    </row>
    <row r="306" ht="15.75" customHeight="1">
      <c r="D306" s="42"/>
      <c r="E306" s="42"/>
    </row>
    <row r="307" ht="15.75" customHeight="1">
      <c r="D307" s="42"/>
      <c r="E307" s="42"/>
    </row>
    <row r="308" ht="15.75" customHeight="1">
      <c r="D308" s="42"/>
      <c r="E308" s="42"/>
    </row>
    <row r="309" ht="15.75" customHeight="1">
      <c r="D309" s="42"/>
      <c r="E309" s="42"/>
    </row>
    <row r="310" ht="15.75" customHeight="1">
      <c r="D310" s="42"/>
      <c r="E310" s="42"/>
    </row>
    <row r="311" ht="15.75" customHeight="1">
      <c r="D311" s="42"/>
      <c r="E311" s="42"/>
    </row>
    <row r="312" ht="15.75" customHeight="1">
      <c r="D312" s="42"/>
      <c r="E312" s="42"/>
    </row>
    <row r="313" ht="15.75" customHeight="1">
      <c r="D313" s="42"/>
      <c r="E313" s="42"/>
    </row>
    <row r="314" ht="15.75" customHeight="1">
      <c r="D314" s="42"/>
      <c r="E314" s="42"/>
    </row>
    <row r="315" ht="15.75" customHeight="1">
      <c r="D315" s="42"/>
      <c r="E315" s="42"/>
    </row>
    <row r="316" ht="15.75" customHeight="1">
      <c r="D316" s="42"/>
      <c r="E316" s="42"/>
    </row>
    <row r="317" ht="15.75" customHeight="1">
      <c r="D317" s="42"/>
      <c r="E317" s="42"/>
    </row>
    <row r="318" ht="15.75" customHeight="1">
      <c r="D318" s="42"/>
      <c r="E318" s="42"/>
    </row>
    <row r="319" ht="15.75" customHeight="1">
      <c r="D319" s="42"/>
      <c r="E319" s="42"/>
    </row>
    <row r="320" ht="15.75" customHeight="1">
      <c r="D320" s="42"/>
      <c r="E320" s="42"/>
    </row>
    <row r="321" ht="15.75" customHeight="1">
      <c r="D321" s="42"/>
      <c r="E321" s="42"/>
    </row>
    <row r="322" ht="15.75" customHeight="1">
      <c r="D322" s="42"/>
      <c r="E322" s="42"/>
    </row>
    <row r="323" ht="15.75" customHeight="1">
      <c r="D323" s="42"/>
      <c r="E323" s="42"/>
    </row>
    <row r="324" ht="15.75" customHeight="1">
      <c r="D324" s="42"/>
      <c r="E324" s="42"/>
    </row>
    <row r="325" ht="15.75" customHeight="1">
      <c r="D325" s="42"/>
      <c r="E325" s="42"/>
    </row>
    <row r="326" ht="15.75" customHeight="1">
      <c r="D326" s="42"/>
      <c r="E326" s="42"/>
    </row>
    <row r="327" ht="15.75" customHeight="1">
      <c r="D327" s="42"/>
      <c r="E327" s="42"/>
    </row>
    <row r="328" ht="15.75" customHeight="1">
      <c r="D328" s="42"/>
      <c r="E328" s="42"/>
    </row>
    <row r="329" ht="15.75" customHeight="1">
      <c r="D329" s="42"/>
      <c r="E329" s="42"/>
    </row>
    <row r="330" ht="15.75" customHeight="1">
      <c r="D330" s="42"/>
      <c r="E330" s="42"/>
    </row>
    <row r="331" ht="15.75" customHeight="1">
      <c r="D331" s="42"/>
      <c r="E331" s="42"/>
    </row>
    <row r="332" ht="15.75" customHeight="1">
      <c r="D332" s="42"/>
      <c r="E332" s="42"/>
    </row>
    <row r="333" ht="15.75" customHeight="1">
      <c r="D333" s="42"/>
      <c r="E333" s="42"/>
    </row>
    <row r="334" ht="15.75" customHeight="1">
      <c r="D334" s="42"/>
      <c r="E334" s="42"/>
    </row>
    <row r="335" ht="15.75" customHeight="1">
      <c r="D335" s="42"/>
      <c r="E335" s="42"/>
    </row>
    <row r="336" ht="15.75" customHeight="1">
      <c r="D336" s="42"/>
      <c r="E336" s="42"/>
    </row>
    <row r="337" ht="15.75" customHeight="1">
      <c r="D337" s="42"/>
      <c r="E337" s="42"/>
    </row>
    <row r="338" ht="15.75" customHeight="1">
      <c r="D338" s="42"/>
      <c r="E338" s="42"/>
    </row>
    <row r="339" ht="15.75" customHeight="1">
      <c r="D339" s="42"/>
      <c r="E339" s="42"/>
    </row>
    <row r="340" ht="15.75" customHeight="1">
      <c r="D340" s="42"/>
      <c r="E340" s="42"/>
    </row>
    <row r="341" ht="15.75" customHeight="1">
      <c r="D341" s="42"/>
      <c r="E341" s="42"/>
    </row>
    <row r="342" ht="15.75" customHeight="1">
      <c r="D342" s="42"/>
      <c r="E342" s="42"/>
    </row>
    <row r="343" ht="15.75" customHeight="1">
      <c r="D343" s="42"/>
      <c r="E343" s="42"/>
    </row>
    <row r="344" ht="15.75" customHeight="1">
      <c r="D344" s="42"/>
      <c r="E344" s="42"/>
    </row>
    <row r="345" ht="15.75" customHeight="1">
      <c r="D345" s="42"/>
      <c r="E345" s="42"/>
    </row>
    <row r="346" ht="15.75" customHeight="1">
      <c r="D346" s="42"/>
      <c r="E346" s="42"/>
    </row>
    <row r="347" ht="15.75" customHeight="1">
      <c r="D347" s="42"/>
      <c r="E347" s="42"/>
    </row>
    <row r="348" ht="15.75" customHeight="1">
      <c r="D348" s="42"/>
      <c r="E348" s="42"/>
    </row>
    <row r="349" ht="15.75" customHeight="1">
      <c r="D349" s="42"/>
      <c r="E349" s="42"/>
    </row>
    <row r="350" ht="15.75" customHeight="1">
      <c r="D350" s="42"/>
      <c r="E350" s="42"/>
    </row>
    <row r="351" ht="15.75" customHeight="1">
      <c r="D351" s="42"/>
      <c r="E351" s="42"/>
    </row>
    <row r="352" ht="15.75" customHeight="1">
      <c r="D352" s="42"/>
      <c r="E352" s="42"/>
    </row>
    <row r="353" ht="15.75" customHeight="1">
      <c r="D353" s="42"/>
      <c r="E353" s="42"/>
    </row>
    <row r="354" ht="15.75" customHeight="1">
      <c r="D354" s="42"/>
      <c r="E354" s="42"/>
    </row>
    <row r="355" ht="15.75" customHeight="1">
      <c r="D355" s="42"/>
      <c r="E355" s="42"/>
    </row>
    <row r="356" ht="15.75" customHeight="1">
      <c r="D356" s="42"/>
      <c r="E356" s="42"/>
    </row>
    <row r="357" ht="15.75" customHeight="1">
      <c r="D357" s="42"/>
      <c r="E357" s="42"/>
    </row>
    <row r="358" ht="15.75" customHeight="1">
      <c r="D358" s="42"/>
      <c r="E358" s="42"/>
    </row>
    <row r="359" ht="15.75" customHeight="1">
      <c r="D359" s="42"/>
      <c r="E359" s="42"/>
    </row>
    <row r="360" ht="15.75" customHeight="1">
      <c r="D360" s="42"/>
      <c r="E360" s="42"/>
    </row>
    <row r="361" ht="15.75" customHeight="1">
      <c r="D361" s="42"/>
      <c r="E361" s="42"/>
    </row>
    <row r="362" ht="15.75" customHeight="1">
      <c r="D362" s="42"/>
      <c r="E362" s="42"/>
    </row>
    <row r="363" ht="15.75" customHeight="1">
      <c r="D363" s="42"/>
      <c r="E363" s="42"/>
    </row>
    <row r="364" ht="15.75" customHeight="1">
      <c r="D364" s="42"/>
      <c r="E364" s="42"/>
    </row>
    <row r="365" ht="15.75" customHeight="1">
      <c r="D365" s="42"/>
      <c r="E365" s="42"/>
    </row>
    <row r="366" ht="15.75" customHeight="1">
      <c r="D366" s="42"/>
      <c r="E366" s="42"/>
    </row>
    <row r="367" ht="15.75" customHeight="1">
      <c r="D367" s="42"/>
      <c r="E367" s="42"/>
    </row>
    <row r="368" ht="15.75" customHeight="1">
      <c r="D368" s="42"/>
      <c r="E368" s="42"/>
    </row>
    <row r="369" ht="15.75" customHeight="1">
      <c r="D369" s="42"/>
      <c r="E369" s="42"/>
    </row>
    <row r="370" ht="15.75" customHeight="1">
      <c r="D370" s="42"/>
      <c r="E370" s="42"/>
    </row>
    <row r="371" ht="15.75" customHeight="1">
      <c r="D371" s="42"/>
      <c r="E371" s="42"/>
    </row>
    <row r="372" ht="15.75" customHeight="1">
      <c r="D372" s="42"/>
      <c r="E372" s="42"/>
    </row>
    <row r="373" ht="15.75" customHeight="1">
      <c r="D373" s="42"/>
      <c r="E373" s="42"/>
    </row>
    <row r="374" ht="15.75" customHeight="1">
      <c r="D374" s="42"/>
      <c r="E374" s="42"/>
    </row>
    <row r="375" ht="15.75" customHeight="1">
      <c r="D375" s="42"/>
      <c r="E375" s="42"/>
    </row>
    <row r="376" ht="15.75" customHeight="1">
      <c r="D376" s="42"/>
      <c r="E376" s="42"/>
    </row>
    <row r="377" ht="15.75" customHeight="1">
      <c r="D377" s="42"/>
      <c r="E377" s="42"/>
    </row>
    <row r="378" ht="15.75" customHeight="1">
      <c r="D378" s="42"/>
      <c r="E378" s="42"/>
    </row>
    <row r="379" ht="15.75" customHeight="1">
      <c r="D379" s="42"/>
      <c r="E379" s="42"/>
    </row>
    <row r="380" ht="15.75" customHeight="1">
      <c r="D380" s="42"/>
      <c r="E380" s="42"/>
    </row>
    <row r="381" ht="15.75" customHeight="1">
      <c r="D381" s="42"/>
      <c r="E381" s="42"/>
    </row>
    <row r="382" ht="15.75" customHeight="1">
      <c r="D382" s="42"/>
      <c r="E382" s="42"/>
    </row>
    <row r="383" ht="15.75" customHeight="1">
      <c r="D383" s="42"/>
      <c r="E383" s="42"/>
    </row>
    <row r="384" ht="15.75" customHeight="1">
      <c r="D384" s="42"/>
      <c r="E384" s="42"/>
    </row>
    <row r="385" ht="15.75" customHeight="1">
      <c r="D385" s="42"/>
      <c r="E385" s="42"/>
    </row>
    <row r="386" ht="15.75" customHeight="1">
      <c r="D386" s="42"/>
      <c r="E386" s="42"/>
    </row>
    <row r="387" ht="15.75" customHeight="1">
      <c r="D387" s="42"/>
      <c r="E387" s="42"/>
    </row>
    <row r="388" ht="15.75" customHeight="1">
      <c r="D388" s="42"/>
      <c r="E388" s="42"/>
    </row>
    <row r="389" ht="15.75" customHeight="1">
      <c r="D389" s="42"/>
      <c r="E389" s="42"/>
    </row>
    <row r="390" ht="15.75" customHeight="1">
      <c r="D390" s="42"/>
      <c r="E390" s="42"/>
    </row>
    <row r="391" ht="15.75" customHeight="1">
      <c r="D391" s="42"/>
      <c r="E391" s="42"/>
    </row>
    <row r="392" ht="15.75" customHeight="1">
      <c r="D392" s="42"/>
      <c r="E392" s="42"/>
    </row>
    <row r="393" ht="15.75" customHeight="1">
      <c r="D393" s="42"/>
      <c r="E393" s="42"/>
    </row>
    <row r="394" ht="15.75" customHeight="1">
      <c r="D394" s="42"/>
      <c r="E394" s="42"/>
    </row>
    <row r="395" ht="15.75" customHeight="1">
      <c r="D395" s="42"/>
      <c r="E395" s="42"/>
    </row>
    <row r="396" ht="15.75" customHeight="1">
      <c r="D396" s="42"/>
      <c r="E396" s="42"/>
    </row>
    <row r="397" ht="15.75" customHeight="1">
      <c r="D397" s="42"/>
      <c r="E397" s="42"/>
    </row>
    <row r="398" ht="15.75" customHeight="1">
      <c r="D398" s="42"/>
      <c r="E398" s="42"/>
    </row>
    <row r="399" ht="15.75" customHeight="1">
      <c r="D399" s="42"/>
      <c r="E399" s="42"/>
    </row>
    <row r="400" ht="15.75" customHeight="1">
      <c r="D400" s="42"/>
      <c r="E400" s="42"/>
    </row>
    <row r="401" ht="15.75" customHeight="1">
      <c r="D401" s="42"/>
      <c r="E401" s="42"/>
    </row>
    <row r="402" ht="15.75" customHeight="1">
      <c r="D402" s="42"/>
      <c r="E402" s="42"/>
    </row>
    <row r="403" ht="15.75" customHeight="1">
      <c r="D403" s="42"/>
      <c r="E403" s="42"/>
    </row>
    <row r="404" ht="15.75" customHeight="1">
      <c r="D404" s="42"/>
      <c r="E404" s="42"/>
    </row>
    <row r="405" ht="15.75" customHeight="1">
      <c r="D405" s="42"/>
      <c r="E405" s="42"/>
    </row>
    <row r="406" ht="15.75" customHeight="1">
      <c r="D406" s="42"/>
      <c r="E406" s="42"/>
    </row>
    <row r="407" ht="15.75" customHeight="1">
      <c r="D407" s="42"/>
      <c r="E407" s="42"/>
    </row>
    <row r="408" ht="15.75" customHeight="1">
      <c r="D408" s="42"/>
      <c r="E408" s="42"/>
    </row>
    <row r="409" ht="15.75" customHeight="1">
      <c r="D409" s="42"/>
      <c r="E409" s="42"/>
    </row>
    <row r="410" ht="15.75" customHeight="1">
      <c r="D410" s="42"/>
      <c r="E410" s="42"/>
    </row>
    <row r="411" ht="15.75" customHeight="1">
      <c r="D411" s="42"/>
      <c r="E411" s="42"/>
    </row>
    <row r="412" ht="15.75" customHeight="1">
      <c r="D412" s="42"/>
      <c r="E412" s="42"/>
    </row>
    <row r="413" ht="15.75" customHeight="1">
      <c r="D413" s="42"/>
      <c r="E413" s="42"/>
    </row>
    <row r="414" ht="15.75" customHeight="1">
      <c r="D414" s="42"/>
      <c r="E414" s="42"/>
    </row>
    <row r="415" ht="15.75" customHeight="1">
      <c r="D415" s="42"/>
      <c r="E415" s="42"/>
    </row>
    <row r="416" ht="15.75" customHeight="1">
      <c r="D416" s="42"/>
      <c r="E416" s="42"/>
    </row>
    <row r="417" ht="15.75" customHeight="1">
      <c r="D417" s="42"/>
      <c r="E417" s="42"/>
    </row>
    <row r="418" ht="15.75" customHeight="1">
      <c r="D418" s="42"/>
      <c r="E418" s="42"/>
    </row>
    <row r="419" ht="15.75" customHeight="1">
      <c r="D419" s="42"/>
      <c r="E419" s="42"/>
    </row>
    <row r="420" ht="15.75" customHeight="1">
      <c r="D420" s="42"/>
      <c r="E420" s="42"/>
    </row>
    <row r="421" ht="15.75" customHeight="1">
      <c r="D421" s="42"/>
      <c r="E421" s="42"/>
    </row>
    <row r="422" ht="15.75" customHeight="1">
      <c r="D422" s="42"/>
      <c r="E422" s="42"/>
    </row>
    <row r="423" ht="15.75" customHeight="1">
      <c r="D423" s="42"/>
      <c r="E423" s="42"/>
    </row>
    <row r="424" ht="15.75" customHeight="1">
      <c r="D424" s="42"/>
      <c r="E424" s="42"/>
    </row>
    <row r="425" ht="15.75" customHeight="1">
      <c r="D425" s="42"/>
      <c r="E425" s="42"/>
    </row>
    <row r="426" ht="15.75" customHeight="1">
      <c r="D426" s="42"/>
      <c r="E426" s="42"/>
    </row>
    <row r="427" ht="15.75" customHeight="1">
      <c r="D427" s="42"/>
      <c r="E427" s="42"/>
    </row>
    <row r="428" ht="15.75" customHeight="1">
      <c r="D428" s="42"/>
      <c r="E428" s="42"/>
    </row>
    <row r="429" ht="15.75" customHeight="1">
      <c r="D429" s="42"/>
      <c r="E429" s="42"/>
    </row>
    <row r="430" ht="15.75" customHeight="1">
      <c r="D430" s="42"/>
      <c r="E430" s="42"/>
    </row>
    <row r="431" ht="15.75" customHeight="1">
      <c r="D431" s="42"/>
      <c r="E431" s="42"/>
    </row>
    <row r="432" ht="15.75" customHeight="1">
      <c r="D432" s="42"/>
      <c r="E432" s="42"/>
    </row>
    <row r="433" ht="15.75" customHeight="1">
      <c r="D433" s="42"/>
      <c r="E433" s="42"/>
    </row>
    <row r="434" ht="15.75" customHeight="1">
      <c r="D434" s="42"/>
      <c r="E434" s="42"/>
    </row>
    <row r="435" ht="15.75" customHeight="1">
      <c r="D435" s="42"/>
      <c r="E435" s="42"/>
    </row>
    <row r="436" ht="15.75" customHeight="1">
      <c r="D436" s="42"/>
      <c r="E436" s="42"/>
    </row>
    <row r="437" ht="15.75" customHeight="1">
      <c r="D437" s="42"/>
      <c r="E437" s="42"/>
    </row>
    <row r="438" ht="15.75" customHeight="1">
      <c r="D438" s="42"/>
      <c r="E438" s="42"/>
    </row>
    <row r="439" ht="15.75" customHeight="1">
      <c r="D439" s="42"/>
      <c r="E439" s="42"/>
    </row>
    <row r="440" ht="15.75" customHeight="1">
      <c r="D440" s="42"/>
      <c r="E440" s="42"/>
    </row>
    <row r="441" ht="15.75" customHeight="1">
      <c r="D441" s="42"/>
      <c r="E441" s="42"/>
    </row>
    <row r="442" ht="15.75" customHeight="1">
      <c r="D442" s="42"/>
      <c r="E442" s="42"/>
    </row>
    <row r="443" ht="15.75" customHeight="1">
      <c r="D443" s="42"/>
      <c r="E443" s="42"/>
    </row>
    <row r="444" ht="15.75" customHeight="1">
      <c r="D444" s="42"/>
      <c r="E444" s="42"/>
    </row>
    <row r="445" ht="15.75" customHeight="1">
      <c r="D445" s="42"/>
      <c r="E445" s="42"/>
    </row>
    <row r="446" ht="15.75" customHeight="1">
      <c r="D446" s="42"/>
      <c r="E446" s="42"/>
    </row>
    <row r="447" ht="15.75" customHeight="1">
      <c r="D447" s="42"/>
      <c r="E447" s="42"/>
    </row>
    <row r="448" ht="15.75" customHeight="1">
      <c r="D448" s="42"/>
      <c r="E448" s="42"/>
    </row>
    <row r="449" ht="15.75" customHeight="1">
      <c r="D449" s="42"/>
      <c r="E449" s="42"/>
    </row>
    <row r="450" ht="15.75" customHeight="1">
      <c r="D450" s="42"/>
      <c r="E450" s="42"/>
    </row>
    <row r="451" ht="15.75" customHeight="1">
      <c r="D451" s="42"/>
      <c r="E451" s="42"/>
    </row>
    <row r="452" ht="15.75" customHeight="1">
      <c r="D452" s="42"/>
      <c r="E452" s="42"/>
    </row>
    <row r="453" ht="15.75" customHeight="1">
      <c r="D453" s="42"/>
      <c r="E453" s="42"/>
    </row>
    <row r="454" ht="15.75" customHeight="1">
      <c r="D454" s="42"/>
      <c r="E454" s="42"/>
    </row>
    <row r="455" ht="15.75" customHeight="1">
      <c r="D455" s="42"/>
      <c r="E455" s="42"/>
    </row>
    <row r="456" ht="15.75" customHeight="1">
      <c r="D456" s="42"/>
      <c r="E456" s="42"/>
    </row>
    <row r="457" ht="15.75" customHeight="1">
      <c r="D457" s="42"/>
      <c r="E457" s="42"/>
    </row>
    <row r="458" ht="15.75" customHeight="1">
      <c r="D458" s="42"/>
      <c r="E458" s="42"/>
    </row>
    <row r="459" ht="15.75" customHeight="1">
      <c r="D459" s="42"/>
      <c r="E459" s="42"/>
    </row>
    <row r="460" ht="15.75" customHeight="1">
      <c r="D460" s="42"/>
      <c r="E460" s="42"/>
    </row>
    <row r="461" ht="15.75" customHeight="1">
      <c r="D461" s="42"/>
      <c r="E461" s="42"/>
    </row>
    <row r="462" ht="15.75" customHeight="1">
      <c r="D462" s="42"/>
      <c r="E462" s="42"/>
    </row>
    <row r="463" ht="15.75" customHeight="1">
      <c r="D463" s="42"/>
      <c r="E463" s="42"/>
    </row>
    <row r="464" ht="15.75" customHeight="1">
      <c r="D464" s="42"/>
      <c r="E464" s="42"/>
    </row>
    <row r="465" ht="15.75" customHeight="1">
      <c r="D465" s="42"/>
      <c r="E465" s="42"/>
    </row>
    <row r="466" ht="15.75" customHeight="1">
      <c r="D466" s="42"/>
      <c r="E466" s="42"/>
    </row>
    <row r="467" ht="15.75" customHeight="1">
      <c r="D467" s="42"/>
      <c r="E467" s="42"/>
    </row>
    <row r="468" ht="15.75" customHeight="1">
      <c r="D468" s="42"/>
      <c r="E468" s="42"/>
    </row>
    <row r="469" ht="15.75" customHeight="1">
      <c r="D469" s="42"/>
      <c r="E469" s="42"/>
    </row>
    <row r="470" ht="15.75" customHeight="1">
      <c r="D470" s="42"/>
      <c r="E470" s="42"/>
    </row>
    <row r="471" ht="15.75" customHeight="1">
      <c r="D471" s="42"/>
      <c r="E471" s="42"/>
    </row>
    <row r="472" ht="15.75" customHeight="1">
      <c r="D472" s="42"/>
      <c r="E472" s="42"/>
    </row>
    <row r="473" ht="15.75" customHeight="1">
      <c r="D473" s="42"/>
      <c r="E473" s="42"/>
    </row>
    <row r="474" ht="15.75" customHeight="1">
      <c r="D474" s="42"/>
      <c r="E474" s="42"/>
    </row>
    <row r="475" ht="15.75" customHeight="1">
      <c r="D475" s="42"/>
      <c r="E475" s="42"/>
    </row>
    <row r="476" ht="15.75" customHeight="1">
      <c r="D476" s="42"/>
      <c r="E476" s="42"/>
    </row>
    <row r="477" ht="15.75" customHeight="1">
      <c r="D477" s="42"/>
      <c r="E477" s="42"/>
    </row>
    <row r="478" ht="15.75" customHeight="1">
      <c r="D478" s="42"/>
      <c r="E478" s="42"/>
    </row>
    <row r="479" ht="15.75" customHeight="1">
      <c r="D479" s="42"/>
      <c r="E479" s="42"/>
    </row>
    <row r="480" ht="15.75" customHeight="1">
      <c r="D480" s="42"/>
      <c r="E480" s="42"/>
    </row>
    <row r="481" ht="15.75" customHeight="1">
      <c r="D481" s="42"/>
      <c r="E481" s="42"/>
    </row>
    <row r="482" ht="15.75" customHeight="1">
      <c r="D482" s="42"/>
      <c r="E482" s="42"/>
    </row>
    <row r="483" ht="15.75" customHeight="1">
      <c r="D483" s="42"/>
      <c r="E483" s="42"/>
    </row>
    <row r="484" ht="15.75" customHeight="1">
      <c r="D484" s="42"/>
      <c r="E484" s="42"/>
    </row>
    <row r="485" ht="15.75" customHeight="1">
      <c r="D485" s="42"/>
      <c r="E485" s="42"/>
    </row>
    <row r="486" ht="15.75" customHeight="1">
      <c r="D486" s="42"/>
      <c r="E486" s="42"/>
    </row>
    <row r="487" ht="15.75" customHeight="1">
      <c r="D487" s="42"/>
      <c r="E487" s="42"/>
    </row>
    <row r="488" ht="15.75" customHeight="1">
      <c r="D488" s="42"/>
      <c r="E488" s="42"/>
    </row>
    <row r="489" ht="15.75" customHeight="1">
      <c r="D489" s="42"/>
      <c r="E489" s="42"/>
    </row>
    <row r="490" ht="15.75" customHeight="1">
      <c r="D490" s="42"/>
      <c r="E490" s="42"/>
    </row>
    <row r="491" ht="15.75" customHeight="1">
      <c r="D491" s="42"/>
      <c r="E491" s="42"/>
    </row>
    <row r="492" ht="15.75" customHeight="1">
      <c r="D492" s="42"/>
      <c r="E492" s="42"/>
    </row>
    <row r="493" ht="15.75" customHeight="1">
      <c r="D493" s="42"/>
      <c r="E493" s="42"/>
    </row>
    <row r="494" ht="15.75" customHeight="1">
      <c r="D494" s="42"/>
      <c r="E494" s="42"/>
    </row>
    <row r="495" ht="15.75" customHeight="1">
      <c r="D495" s="42"/>
      <c r="E495" s="42"/>
    </row>
    <row r="496" ht="15.75" customHeight="1">
      <c r="D496" s="42"/>
      <c r="E496" s="42"/>
    </row>
    <row r="497" ht="15.75" customHeight="1">
      <c r="D497" s="42"/>
      <c r="E497" s="42"/>
    </row>
    <row r="498" ht="15.75" customHeight="1">
      <c r="D498" s="42"/>
      <c r="E498" s="42"/>
    </row>
    <row r="499" ht="15.75" customHeight="1">
      <c r="D499" s="42"/>
      <c r="E499" s="42"/>
    </row>
    <row r="500" ht="15.75" customHeight="1">
      <c r="D500" s="42"/>
      <c r="E500" s="42"/>
    </row>
    <row r="501" ht="15.75" customHeight="1">
      <c r="D501" s="42"/>
      <c r="E501" s="42"/>
    </row>
    <row r="502" ht="15.75" customHeight="1">
      <c r="D502" s="42"/>
      <c r="E502" s="42"/>
    </row>
    <row r="503" ht="15.75" customHeight="1">
      <c r="D503" s="42"/>
      <c r="E503" s="42"/>
    </row>
    <row r="504" ht="15.75" customHeight="1">
      <c r="D504" s="42"/>
      <c r="E504" s="42"/>
    </row>
    <row r="505" ht="15.75" customHeight="1">
      <c r="D505" s="42"/>
      <c r="E505" s="42"/>
    </row>
    <row r="506" ht="15.75" customHeight="1">
      <c r="D506" s="42"/>
      <c r="E506" s="42"/>
    </row>
    <row r="507" ht="15.75" customHeight="1">
      <c r="D507" s="42"/>
      <c r="E507" s="42"/>
    </row>
    <row r="508" ht="15.75" customHeight="1">
      <c r="D508" s="42"/>
      <c r="E508" s="42"/>
    </row>
    <row r="509" ht="15.75" customHeight="1">
      <c r="D509" s="42"/>
      <c r="E509" s="42"/>
    </row>
    <row r="510" ht="15.75" customHeight="1">
      <c r="D510" s="42"/>
      <c r="E510" s="42"/>
    </row>
    <row r="511" ht="15.75" customHeight="1">
      <c r="D511" s="42"/>
      <c r="E511" s="42"/>
    </row>
    <row r="512" ht="15.75" customHeight="1">
      <c r="D512" s="42"/>
      <c r="E512" s="42"/>
    </row>
    <row r="513" ht="15.75" customHeight="1">
      <c r="D513" s="42"/>
      <c r="E513" s="42"/>
    </row>
    <row r="514" ht="15.75" customHeight="1">
      <c r="D514" s="42"/>
      <c r="E514" s="42"/>
    </row>
    <row r="515" ht="15.75" customHeight="1">
      <c r="D515" s="42"/>
      <c r="E515" s="42"/>
    </row>
    <row r="516" ht="15.75" customHeight="1">
      <c r="D516" s="42"/>
      <c r="E516" s="42"/>
    </row>
    <row r="517" ht="15.75" customHeight="1">
      <c r="D517" s="42"/>
      <c r="E517" s="42"/>
    </row>
    <row r="518" ht="15.75" customHeight="1">
      <c r="D518" s="42"/>
      <c r="E518" s="42"/>
    </row>
    <row r="519" ht="15.75" customHeight="1">
      <c r="D519" s="42"/>
      <c r="E519" s="42"/>
    </row>
    <row r="520" ht="15.75" customHeight="1">
      <c r="D520" s="42"/>
      <c r="E520" s="42"/>
    </row>
    <row r="521" ht="15.75" customHeight="1">
      <c r="D521" s="42"/>
      <c r="E521" s="42"/>
    </row>
    <row r="522" ht="15.75" customHeight="1">
      <c r="D522" s="42"/>
      <c r="E522" s="42"/>
    </row>
    <row r="523" ht="15.75" customHeight="1">
      <c r="D523" s="42"/>
      <c r="E523" s="42"/>
    </row>
    <row r="524" ht="15.75" customHeight="1">
      <c r="D524" s="42"/>
      <c r="E524" s="42"/>
    </row>
    <row r="525" ht="15.75" customHeight="1">
      <c r="D525" s="42"/>
      <c r="E525" s="42"/>
    </row>
    <row r="526" ht="15.75" customHeight="1">
      <c r="D526" s="42"/>
      <c r="E526" s="42"/>
    </row>
    <row r="527" ht="15.75" customHeight="1">
      <c r="D527" s="42"/>
      <c r="E527" s="42"/>
    </row>
    <row r="528" ht="15.75" customHeight="1">
      <c r="D528" s="42"/>
      <c r="E528" s="42"/>
    </row>
    <row r="529" ht="15.75" customHeight="1">
      <c r="D529" s="42"/>
      <c r="E529" s="42"/>
    </row>
    <row r="530" ht="15.75" customHeight="1">
      <c r="D530" s="42"/>
      <c r="E530" s="42"/>
    </row>
    <row r="531" ht="15.75" customHeight="1">
      <c r="D531" s="42"/>
      <c r="E531" s="42"/>
    </row>
    <row r="532" ht="15.75" customHeight="1">
      <c r="D532" s="42"/>
      <c r="E532" s="42"/>
    </row>
    <row r="533" ht="15.75" customHeight="1">
      <c r="D533" s="42"/>
      <c r="E533" s="42"/>
    </row>
    <row r="534" ht="15.75" customHeight="1">
      <c r="D534" s="42"/>
      <c r="E534" s="42"/>
    </row>
    <row r="535" ht="15.75" customHeight="1">
      <c r="D535" s="42"/>
      <c r="E535" s="42"/>
    </row>
    <row r="536" ht="15.75" customHeight="1">
      <c r="D536" s="42"/>
      <c r="E536" s="42"/>
    </row>
    <row r="537" ht="15.75" customHeight="1">
      <c r="D537" s="42"/>
      <c r="E537" s="42"/>
    </row>
    <row r="538" ht="15.75" customHeight="1">
      <c r="D538" s="42"/>
      <c r="E538" s="42"/>
    </row>
    <row r="539" ht="15.75" customHeight="1">
      <c r="D539" s="42"/>
      <c r="E539" s="42"/>
    </row>
    <row r="540" ht="15.75" customHeight="1">
      <c r="D540" s="42"/>
      <c r="E540" s="42"/>
    </row>
    <row r="541" ht="15.75" customHeight="1">
      <c r="D541" s="42"/>
      <c r="E541" s="42"/>
    </row>
    <row r="542" ht="15.75" customHeight="1">
      <c r="D542" s="42"/>
      <c r="E542" s="42"/>
    </row>
    <row r="543" ht="15.75" customHeight="1">
      <c r="D543" s="42"/>
      <c r="E543" s="42"/>
    </row>
    <row r="544" ht="15.75" customHeight="1">
      <c r="D544" s="42"/>
      <c r="E544" s="42"/>
    </row>
    <row r="545" ht="15.75" customHeight="1">
      <c r="D545" s="42"/>
      <c r="E545" s="42"/>
    </row>
    <row r="546" ht="15.75" customHeight="1">
      <c r="D546" s="42"/>
      <c r="E546" s="42"/>
    </row>
    <row r="547" ht="15.75" customHeight="1">
      <c r="D547" s="42"/>
      <c r="E547" s="42"/>
    </row>
    <row r="548" ht="15.75" customHeight="1">
      <c r="D548" s="42"/>
      <c r="E548" s="42"/>
    </row>
    <row r="549" ht="15.75" customHeight="1">
      <c r="D549" s="42"/>
      <c r="E549" s="42"/>
    </row>
    <row r="550" ht="15.75" customHeight="1">
      <c r="D550" s="42"/>
      <c r="E550" s="42"/>
    </row>
    <row r="551" ht="15.75" customHeight="1">
      <c r="D551" s="42"/>
      <c r="E551" s="42"/>
    </row>
    <row r="552" ht="15.75" customHeight="1">
      <c r="D552" s="42"/>
      <c r="E552" s="42"/>
    </row>
    <row r="553" ht="15.75" customHeight="1">
      <c r="D553" s="42"/>
      <c r="E553" s="42"/>
    </row>
    <row r="554" ht="15.75" customHeight="1">
      <c r="D554" s="42"/>
      <c r="E554" s="42"/>
    </row>
    <row r="555" ht="15.75" customHeight="1">
      <c r="D555" s="42"/>
      <c r="E555" s="42"/>
    </row>
    <row r="556" ht="15.75" customHeight="1">
      <c r="D556" s="42"/>
      <c r="E556" s="42"/>
    </row>
    <row r="557" ht="15.75" customHeight="1">
      <c r="D557" s="42"/>
      <c r="E557" s="42"/>
    </row>
    <row r="558" ht="15.75" customHeight="1">
      <c r="D558" s="42"/>
      <c r="E558" s="42"/>
    </row>
    <row r="559" ht="15.75" customHeight="1">
      <c r="D559" s="42"/>
      <c r="E559" s="42"/>
    </row>
    <row r="560" ht="15.75" customHeight="1">
      <c r="D560" s="42"/>
      <c r="E560" s="42"/>
    </row>
    <row r="561" ht="15.75" customHeight="1">
      <c r="D561" s="42"/>
      <c r="E561" s="42"/>
    </row>
    <row r="562" ht="15.75" customHeight="1">
      <c r="D562" s="42"/>
      <c r="E562" s="42"/>
    </row>
    <row r="563" ht="15.75" customHeight="1">
      <c r="D563" s="42"/>
      <c r="E563" s="42"/>
    </row>
    <row r="564" ht="15.75" customHeight="1">
      <c r="D564" s="42"/>
      <c r="E564" s="42"/>
    </row>
    <row r="565" ht="15.75" customHeight="1">
      <c r="D565" s="42"/>
      <c r="E565" s="42"/>
    </row>
    <row r="566" ht="15.75" customHeight="1">
      <c r="D566" s="42"/>
      <c r="E566" s="42"/>
    </row>
    <row r="567" ht="15.75" customHeight="1">
      <c r="D567" s="42"/>
      <c r="E567" s="42"/>
    </row>
    <row r="568" ht="15.75" customHeight="1">
      <c r="D568" s="42"/>
      <c r="E568" s="42"/>
    </row>
    <row r="569" ht="15.75" customHeight="1">
      <c r="D569" s="42"/>
      <c r="E569" s="42"/>
    </row>
    <row r="570" ht="15.75" customHeight="1">
      <c r="D570" s="42"/>
      <c r="E570" s="42"/>
    </row>
    <row r="571" ht="15.75" customHeight="1">
      <c r="D571" s="42"/>
      <c r="E571" s="42"/>
    </row>
    <row r="572" ht="15.75" customHeight="1">
      <c r="D572" s="42"/>
      <c r="E572" s="42"/>
    </row>
    <row r="573" ht="15.75" customHeight="1">
      <c r="D573" s="42"/>
      <c r="E573" s="42"/>
    </row>
    <row r="574" ht="15.75" customHeight="1">
      <c r="D574" s="42"/>
      <c r="E574" s="42"/>
    </row>
    <row r="575" ht="15.75" customHeight="1">
      <c r="D575" s="42"/>
      <c r="E575" s="42"/>
    </row>
    <row r="576" ht="15.75" customHeight="1">
      <c r="D576" s="42"/>
      <c r="E576" s="42"/>
    </row>
    <row r="577" ht="15.75" customHeight="1">
      <c r="D577" s="42"/>
      <c r="E577" s="42"/>
    </row>
    <row r="578" ht="15.75" customHeight="1">
      <c r="D578" s="42"/>
      <c r="E578" s="42"/>
    </row>
    <row r="579" ht="15.75" customHeight="1">
      <c r="D579" s="42"/>
      <c r="E579" s="42"/>
    </row>
    <row r="580" ht="15.75" customHeight="1">
      <c r="D580" s="42"/>
      <c r="E580" s="42"/>
    </row>
    <row r="581" ht="15.75" customHeight="1">
      <c r="D581" s="42"/>
      <c r="E581" s="42"/>
    </row>
    <row r="582" ht="15.75" customHeight="1">
      <c r="D582" s="42"/>
      <c r="E582" s="42"/>
    </row>
    <row r="583" ht="15.75" customHeight="1">
      <c r="D583" s="42"/>
      <c r="E583" s="42"/>
    </row>
    <row r="584" ht="15.75" customHeight="1">
      <c r="D584" s="42"/>
      <c r="E584" s="42"/>
    </row>
    <row r="585" ht="15.75" customHeight="1">
      <c r="D585" s="42"/>
      <c r="E585" s="42"/>
    </row>
    <row r="586" ht="15.75" customHeight="1">
      <c r="D586" s="42"/>
      <c r="E586" s="42"/>
    </row>
    <row r="587" ht="15.75" customHeight="1">
      <c r="D587" s="42"/>
      <c r="E587" s="42"/>
    </row>
    <row r="588" ht="15.75" customHeight="1">
      <c r="D588" s="42"/>
      <c r="E588" s="42"/>
    </row>
    <row r="589" ht="15.75" customHeight="1">
      <c r="D589" s="42"/>
      <c r="E589" s="42"/>
    </row>
    <row r="590" ht="15.75" customHeight="1">
      <c r="D590" s="42"/>
      <c r="E590" s="42"/>
    </row>
    <row r="591" ht="15.75" customHeight="1">
      <c r="D591" s="42"/>
      <c r="E591" s="42"/>
    </row>
    <row r="592" ht="15.75" customHeight="1">
      <c r="D592" s="42"/>
      <c r="E592" s="42"/>
    </row>
    <row r="593" ht="15.75" customHeight="1">
      <c r="D593" s="42"/>
      <c r="E593" s="42"/>
    </row>
    <row r="594" ht="15.75" customHeight="1">
      <c r="D594" s="42"/>
      <c r="E594" s="42"/>
    </row>
    <row r="595" ht="15.75" customHeight="1">
      <c r="D595" s="42"/>
      <c r="E595" s="42"/>
    </row>
    <row r="596" ht="15.75" customHeight="1">
      <c r="D596" s="42"/>
      <c r="E596" s="42"/>
    </row>
    <row r="597" ht="15.75" customHeight="1">
      <c r="D597" s="42"/>
      <c r="E597" s="42"/>
    </row>
    <row r="598" ht="15.75" customHeight="1">
      <c r="D598" s="42"/>
      <c r="E598" s="42"/>
    </row>
    <row r="599" ht="15.75" customHeight="1">
      <c r="D599" s="42"/>
      <c r="E599" s="42"/>
    </row>
    <row r="600" ht="15.75" customHeight="1">
      <c r="D600" s="42"/>
      <c r="E600" s="42"/>
    </row>
    <row r="601" ht="15.75" customHeight="1">
      <c r="D601" s="42"/>
      <c r="E601" s="42"/>
    </row>
    <row r="602" ht="15.75" customHeight="1">
      <c r="D602" s="42"/>
      <c r="E602" s="42"/>
    </row>
    <row r="603" ht="15.75" customHeight="1">
      <c r="D603" s="42"/>
      <c r="E603" s="42"/>
    </row>
    <row r="604" ht="15.75" customHeight="1">
      <c r="D604" s="42"/>
      <c r="E604" s="42"/>
    </row>
    <row r="605" ht="15.75" customHeight="1">
      <c r="D605" s="42"/>
      <c r="E605" s="42"/>
    </row>
    <row r="606" ht="15.75" customHeight="1">
      <c r="D606" s="42"/>
      <c r="E606" s="42"/>
    </row>
    <row r="607" ht="15.75" customHeight="1">
      <c r="D607" s="42"/>
      <c r="E607" s="42"/>
    </row>
    <row r="608" ht="15.75" customHeight="1">
      <c r="D608" s="42"/>
      <c r="E608" s="42"/>
    </row>
    <row r="609" ht="15.75" customHeight="1">
      <c r="D609" s="42"/>
      <c r="E609" s="42"/>
    </row>
    <row r="610" ht="15.75" customHeight="1">
      <c r="D610" s="42"/>
      <c r="E610" s="42"/>
    </row>
    <row r="611" ht="15.75" customHeight="1">
      <c r="D611" s="42"/>
      <c r="E611" s="42"/>
    </row>
    <row r="612" ht="15.75" customHeight="1">
      <c r="D612" s="42"/>
      <c r="E612" s="42"/>
    </row>
    <row r="613" ht="15.75" customHeight="1">
      <c r="D613" s="42"/>
      <c r="E613" s="42"/>
    </row>
    <row r="614" ht="15.75" customHeight="1">
      <c r="D614" s="42"/>
      <c r="E614" s="42"/>
    </row>
    <row r="615" ht="15.75" customHeight="1">
      <c r="D615" s="42"/>
      <c r="E615" s="42"/>
    </row>
    <row r="616" ht="15.75" customHeight="1">
      <c r="D616" s="42"/>
      <c r="E616" s="42"/>
    </row>
    <row r="617" ht="15.75" customHeight="1">
      <c r="D617" s="42"/>
      <c r="E617" s="42"/>
    </row>
    <row r="618" ht="15.75" customHeight="1">
      <c r="D618" s="42"/>
      <c r="E618" s="42"/>
    </row>
    <row r="619" ht="15.75" customHeight="1">
      <c r="D619" s="42"/>
      <c r="E619" s="42"/>
    </row>
    <row r="620" ht="15.75" customHeight="1">
      <c r="D620" s="42"/>
      <c r="E620" s="42"/>
    </row>
    <row r="621" ht="15.75" customHeight="1">
      <c r="D621" s="42"/>
      <c r="E621" s="42"/>
    </row>
    <row r="622" ht="15.75" customHeight="1">
      <c r="D622" s="42"/>
      <c r="E622" s="42"/>
    </row>
    <row r="623" ht="15.75" customHeight="1">
      <c r="D623" s="42"/>
      <c r="E623" s="42"/>
    </row>
    <row r="624" ht="15.75" customHeight="1">
      <c r="D624" s="42"/>
      <c r="E624" s="42"/>
    </row>
    <row r="625" ht="15.75" customHeight="1">
      <c r="D625" s="42"/>
      <c r="E625" s="42"/>
    </row>
    <row r="626" ht="15.75" customHeight="1">
      <c r="D626" s="42"/>
      <c r="E626" s="42"/>
    </row>
    <row r="627" ht="15.75" customHeight="1">
      <c r="D627" s="42"/>
      <c r="E627" s="42"/>
    </row>
    <row r="628" ht="15.75" customHeight="1">
      <c r="D628" s="42"/>
      <c r="E628" s="42"/>
    </row>
    <row r="629" ht="15.75" customHeight="1">
      <c r="D629" s="42"/>
      <c r="E629" s="42"/>
    </row>
    <row r="630" ht="15.75" customHeight="1">
      <c r="D630" s="42"/>
      <c r="E630" s="42"/>
    </row>
    <row r="631" ht="15.75" customHeight="1">
      <c r="D631" s="42"/>
      <c r="E631" s="42"/>
    </row>
    <row r="632" ht="15.75" customHeight="1">
      <c r="D632" s="42"/>
      <c r="E632" s="42"/>
    </row>
    <row r="633" ht="15.75" customHeight="1">
      <c r="D633" s="42"/>
      <c r="E633" s="42"/>
    </row>
    <row r="634" ht="15.75" customHeight="1">
      <c r="D634" s="42"/>
      <c r="E634" s="42"/>
    </row>
    <row r="635" ht="15.75" customHeight="1">
      <c r="D635" s="42"/>
      <c r="E635" s="42"/>
    </row>
    <row r="636" ht="15.75" customHeight="1">
      <c r="D636" s="42"/>
      <c r="E636" s="42"/>
    </row>
    <row r="637" ht="15.75" customHeight="1">
      <c r="D637" s="42"/>
      <c r="E637" s="42"/>
    </row>
    <row r="638" ht="15.75" customHeight="1">
      <c r="D638" s="42"/>
      <c r="E638" s="42"/>
    </row>
    <row r="639" ht="15.75" customHeight="1">
      <c r="D639" s="42"/>
      <c r="E639" s="42"/>
    </row>
    <row r="640" ht="15.75" customHeight="1">
      <c r="D640" s="42"/>
      <c r="E640" s="42"/>
    </row>
    <row r="641" ht="15.75" customHeight="1">
      <c r="D641" s="42"/>
      <c r="E641" s="42"/>
    </row>
    <row r="642" ht="15.75" customHeight="1">
      <c r="D642" s="42"/>
      <c r="E642" s="42"/>
    </row>
    <row r="643" ht="15.75" customHeight="1">
      <c r="D643" s="42"/>
      <c r="E643" s="42"/>
    </row>
    <row r="644" ht="15.75" customHeight="1">
      <c r="D644" s="42"/>
      <c r="E644" s="42"/>
    </row>
    <row r="645" ht="15.75" customHeight="1">
      <c r="D645" s="42"/>
      <c r="E645" s="42"/>
    </row>
    <row r="646" ht="15.75" customHeight="1">
      <c r="D646" s="42"/>
      <c r="E646" s="42"/>
    </row>
    <row r="647" ht="15.75" customHeight="1">
      <c r="D647" s="42"/>
      <c r="E647" s="42"/>
    </row>
    <row r="648" ht="15.75" customHeight="1">
      <c r="D648" s="42"/>
      <c r="E648" s="42"/>
    </row>
    <row r="649" ht="15.75" customHeight="1">
      <c r="D649" s="42"/>
      <c r="E649" s="42"/>
    </row>
    <row r="650" ht="15.75" customHeight="1">
      <c r="D650" s="42"/>
      <c r="E650" s="42"/>
    </row>
    <row r="651" ht="15.75" customHeight="1">
      <c r="D651" s="42"/>
      <c r="E651" s="42"/>
    </row>
    <row r="652" ht="15.75" customHeight="1">
      <c r="D652" s="42"/>
      <c r="E652" s="42"/>
    </row>
    <row r="653" ht="15.75" customHeight="1">
      <c r="D653" s="42"/>
      <c r="E653" s="42"/>
    </row>
    <row r="654" ht="15.75" customHeight="1">
      <c r="D654" s="42"/>
      <c r="E654" s="42"/>
    </row>
    <row r="655" ht="15.75" customHeight="1">
      <c r="D655" s="42"/>
      <c r="E655" s="42"/>
    </row>
    <row r="656" ht="15.75" customHeight="1">
      <c r="D656" s="42"/>
      <c r="E656" s="42"/>
    </row>
    <row r="657" ht="15.75" customHeight="1">
      <c r="D657" s="42"/>
      <c r="E657" s="42"/>
    </row>
    <row r="658" ht="15.75" customHeight="1">
      <c r="D658" s="42"/>
      <c r="E658" s="42"/>
    </row>
    <row r="659" ht="15.75" customHeight="1">
      <c r="D659" s="42"/>
      <c r="E659" s="42"/>
    </row>
    <row r="660" ht="15.75" customHeight="1">
      <c r="D660" s="42"/>
      <c r="E660" s="42"/>
    </row>
    <row r="661" ht="15.75" customHeight="1">
      <c r="D661" s="42"/>
      <c r="E661" s="42"/>
    </row>
    <row r="662" ht="15.75" customHeight="1">
      <c r="D662" s="42"/>
      <c r="E662" s="42"/>
    </row>
    <row r="663" ht="15.75" customHeight="1">
      <c r="D663" s="42"/>
      <c r="E663" s="42"/>
    </row>
    <row r="664" ht="15.75" customHeight="1">
      <c r="D664" s="42"/>
      <c r="E664" s="42"/>
    </row>
    <row r="665" ht="15.75" customHeight="1">
      <c r="D665" s="42"/>
      <c r="E665" s="42"/>
    </row>
    <row r="666" ht="15.75" customHeight="1">
      <c r="D666" s="42"/>
      <c r="E666" s="42"/>
    </row>
    <row r="667" ht="15.75" customHeight="1">
      <c r="D667" s="42"/>
      <c r="E667" s="42"/>
    </row>
    <row r="668" ht="15.75" customHeight="1">
      <c r="D668" s="42"/>
      <c r="E668" s="42"/>
    </row>
    <row r="669" ht="15.75" customHeight="1">
      <c r="D669" s="42"/>
      <c r="E669" s="42"/>
    </row>
    <row r="670" ht="15.75" customHeight="1">
      <c r="D670" s="42"/>
      <c r="E670" s="42"/>
    </row>
    <row r="671" ht="15.75" customHeight="1">
      <c r="D671" s="42"/>
      <c r="E671" s="42"/>
    </row>
    <row r="672" ht="15.75" customHeight="1">
      <c r="D672" s="42"/>
      <c r="E672" s="42"/>
    </row>
    <row r="673" ht="15.75" customHeight="1">
      <c r="D673" s="42"/>
      <c r="E673" s="42"/>
    </row>
    <row r="674" ht="15.75" customHeight="1">
      <c r="D674" s="42"/>
      <c r="E674" s="42"/>
    </row>
    <row r="675" ht="15.75" customHeight="1">
      <c r="D675" s="42"/>
      <c r="E675" s="42"/>
    </row>
    <row r="676" ht="15.75" customHeight="1">
      <c r="D676" s="42"/>
      <c r="E676" s="42"/>
    </row>
    <row r="677" ht="15.75" customHeight="1">
      <c r="D677" s="42"/>
      <c r="E677" s="42"/>
    </row>
    <row r="678" ht="15.75" customHeight="1">
      <c r="D678" s="42"/>
      <c r="E678" s="42"/>
    </row>
    <row r="679" ht="15.75" customHeight="1">
      <c r="D679" s="42"/>
      <c r="E679" s="42"/>
    </row>
    <row r="680" ht="15.75" customHeight="1">
      <c r="D680" s="42"/>
      <c r="E680" s="42"/>
    </row>
    <row r="681" ht="15.75" customHeight="1">
      <c r="D681" s="42"/>
      <c r="E681" s="42"/>
    </row>
    <row r="682" ht="15.75" customHeight="1">
      <c r="D682" s="42"/>
      <c r="E682" s="42"/>
    </row>
    <row r="683" ht="15.75" customHeight="1">
      <c r="D683" s="42"/>
      <c r="E683" s="42"/>
    </row>
    <row r="684" ht="15.75" customHeight="1">
      <c r="D684" s="42"/>
      <c r="E684" s="42"/>
    </row>
    <row r="685" ht="15.75" customHeight="1">
      <c r="D685" s="42"/>
      <c r="E685" s="42"/>
    </row>
    <row r="686" ht="15.75" customHeight="1">
      <c r="D686" s="42"/>
      <c r="E686" s="42"/>
    </row>
    <row r="687" ht="15.75" customHeight="1">
      <c r="D687" s="42"/>
      <c r="E687" s="42"/>
    </row>
    <row r="688" ht="15.75" customHeight="1">
      <c r="D688" s="42"/>
      <c r="E688" s="42"/>
    </row>
    <row r="689" ht="15.75" customHeight="1">
      <c r="D689" s="42"/>
      <c r="E689" s="42"/>
    </row>
    <row r="690" ht="15.75" customHeight="1">
      <c r="D690" s="42"/>
      <c r="E690" s="42"/>
    </row>
    <row r="691" ht="15.75" customHeight="1">
      <c r="D691" s="42"/>
      <c r="E691" s="42"/>
    </row>
    <row r="692" ht="15.75" customHeight="1">
      <c r="D692" s="42"/>
      <c r="E692" s="42"/>
    </row>
    <row r="693" ht="15.75" customHeight="1">
      <c r="D693" s="42"/>
      <c r="E693" s="42"/>
    </row>
    <row r="694" ht="15.75" customHeight="1">
      <c r="D694" s="42"/>
      <c r="E694" s="42"/>
    </row>
    <row r="695" ht="15.75" customHeight="1">
      <c r="D695" s="42"/>
      <c r="E695" s="42"/>
    </row>
    <row r="696" ht="15.75" customHeight="1">
      <c r="D696" s="42"/>
      <c r="E696" s="42"/>
    </row>
    <row r="697" ht="15.75" customHeight="1">
      <c r="D697" s="42"/>
      <c r="E697" s="42"/>
    </row>
    <row r="698" ht="15.75" customHeight="1">
      <c r="D698" s="42"/>
      <c r="E698" s="42"/>
    </row>
    <row r="699" ht="15.75" customHeight="1">
      <c r="D699" s="42"/>
      <c r="E699" s="42"/>
    </row>
    <row r="700" ht="15.75" customHeight="1">
      <c r="D700" s="42"/>
      <c r="E700" s="42"/>
    </row>
    <row r="701" ht="15.75" customHeight="1">
      <c r="D701" s="42"/>
      <c r="E701" s="42"/>
    </row>
    <row r="702" ht="15.75" customHeight="1">
      <c r="D702" s="42"/>
      <c r="E702" s="42"/>
    </row>
    <row r="703" ht="15.75" customHeight="1">
      <c r="D703" s="42"/>
      <c r="E703" s="42"/>
    </row>
    <row r="704" ht="15.75" customHeight="1">
      <c r="D704" s="42"/>
      <c r="E704" s="42"/>
    </row>
    <row r="705" ht="15.75" customHeight="1">
      <c r="D705" s="42"/>
      <c r="E705" s="42"/>
    </row>
    <row r="706" ht="15.75" customHeight="1">
      <c r="D706" s="42"/>
      <c r="E706" s="42"/>
    </row>
    <row r="707" ht="15.75" customHeight="1">
      <c r="D707" s="42"/>
      <c r="E707" s="42"/>
    </row>
    <row r="708" ht="15.75" customHeight="1">
      <c r="D708" s="42"/>
      <c r="E708" s="42"/>
    </row>
    <row r="709" ht="15.75" customHeight="1">
      <c r="D709" s="42"/>
      <c r="E709" s="42"/>
    </row>
    <row r="710" ht="15.75" customHeight="1">
      <c r="D710" s="42"/>
      <c r="E710" s="42"/>
    </row>
    <row r="711" ht="15.75" customHeight="1">
      <c r="D711" s="42"/>
      <c r="E711" s="42"/>
    </row>
    <row r="712" ht="15.75" customHeight="1">
      <c r="D712" s="42"/>
      <c r="E712" s="42"/>
    </row>
    <row r="713" ht="15.75" customHeight="1">
      <c r="D713" s="42"/>
      <c r="E713" s="42"/>
    </row>
    <row r="714" ht="15.75" customHeight="1">
      <c r="D714" s="42"/>
      <c r="E714" s="42"/>
    </row>
    <row r="715" ht="15.75" customHeight="1">
      <c r="D715" s="42"/>
      <c r="E715" s="42"/>
    </row>
    <row r="716" ht="15.75" customHeight="1">
      <c r="D716" s="42"/>
      <c r="E716" s="42"/>
    </row>
    <row r="717" ht="15.75" customHeight="1">
      <c r="D717" s="42"/>
      <c r="E717" s="42"/>
    </row>
    <row r="718" ht="15.75" customHeight="1">
      <c r="D718" s="42"/>
      <c r="E718" s="42"/>
    </row>
    <row r="719" ht="15.75" customHeight="1">
      <c r="D719" s="42"/>
      <c r="E719" s="42"/>
    </row>
    <row r="720" ht="15.75" customHeight="1">
      <c r="D720" s="42"/>
      <c r="E720" s="42"/>
    </row>
    <row r="721" ht="15.75" customHeight="1">
      <c r="D721" s="42"/>
      <c r="E721" s="42"/>
    </row>
    <row r="722" ht="15.75" customHeight="1">
      <c r="D722" s="42"/>
      <c r="E722" s="42"/>
    </row>
    <row r="723" ht="15.75" customHeight="1">
      <c r="D723" s="42"/>
      <c r="E723" s="42"/>
    </row>
    <row r="724" ht="15.75" customHeight="1">
      <c r="D724" s="42"/>
      <c r="E724" s="42"/>
    </row>
    <row r="725" ht="15.75" customHeight="1">
      <c r="D725" s="42"/>
      <c r="E725" s="42"/>
    </row>
    <row r="726" ht="15.75" customHeight="1">
      <c r="D726" s="42"/>
      <c r="E726" s="42"/>
    </row>
    <row r="727" ht="15.75" customHeight="1">
      <c r="D727" s="42"/>
      <c r="E727" s="42"/>
    </row>
    <row r="728" ht="15.75" customHeight="1">
      <c r="D728" s="42"/>
      <c r="E728" s="42"/>
    </row>
    <row r="729" ht="15.75" customHeight="1">
      <c r="D729" s="42"/>
      <c r="E729" s="42"/>
    </row>
    <row r="730" ht="15.75" customHeight="1">
      <c r="D730" s="42"/>
      <c r="E730" s="42"/>
    </row>
    <row r="731" ht="15.75" customHeight="1">
      <c r="D731" s="42"/>
      <c r="E731" s="42"/>
    </row>
    <row r="732" ht="15.75" customHeight="1">
      <c r="D732" s="42"/>
      <c r="E732" s="42"/>
    </row>
    <row r="733" ht="15.75" customHeight="1">
      <c r="D733" s="42"/>
      <c r="E733" s="42"/>
    </row>
    <row r="734" ht="15.75" customHeight="1">
      <c r="D734" s="42"/>
      <c r="E734" s="42"/>
    </row>
    <row r="735" ht="15.75" customHeight="1">
      <c r="D735" s="42"/>
      <c r="E735" s="42"/>
    </row>
    <row r="736" ht="15.75" customHeight="1">
      <c r="D736" s="42"/>
      <c r="E736" s="42"/>
    </row>
    <row r="737" ht="15.75" customHeight="1">
      <c r="D737" s="42"/>
      <c r="E737" s="42"/>
    </row>
    <row r="738" ht="15.75" customHeight="1">
      <c r="D738" s="42"/>
      <c r="E738" s="42"/>
    </row>
    <row r="739" ht="15.75" customHeight="1">
      <c r="D739" s="42"/>
      <c r="E739" s="42"/>
    </row>
    <row r="740" ht="15.75" customHeight="1">
      <c r="D740" s="42"/>
      <c r="E740" s="42"/>
    </row>
    <row r="741" ht="15.75" customHeight="1">
      <c r="D741" s="42"/>
      <c r="E741" s="42"/>
    </row>
    <row r="742" ht="15.75" customHeight="1">
      <c r="D742" s="42"/>
      <c r="E742" s="42"/>
    </row>
    <row r="743" ht="15.75" customHeight="1">
      <c r="D743" s="42"/>
      <c r="E743" s="42"/>
    </row>
    <row r="744" ht="15.75" customHeight="1">
      <c r="D744" s="42"/>
      <c r="E744" s="42"/>
    </row>
    <row r="745" ht="15.75" customHeight="1">
      <c r="D745" s="42"/>
      <c r="E745" s="42"/>
    </row>
    <row r="746" ht="15.75" customHeight="1">
      <c r="D746" s="42"/>
      <c r="E746" s="42"/>
    </row>
    <row r="747" ht="15.75" customHeight="1">
      <c r="D747" s="42"/>
      <c r="E747" s="42"/>
    </row>
    <row r="748" ht="15.75" customHeight="1">
      <c r="D748" s="42"/>
      <c r="E748" s="42"/>
    </row>
    <row r="749" ht="15.75" customHeight="1">
      <c r="D749" s="42"/>
      <c r="E749" s="42"/>
    </row>
    <row r="750" ht="15.75" customHeight="1">
      <c r="D750" s="42"/>
      <c r="E750" s="42"/>
    </row>
    <row r="751" ht="15.75" customHeight="1">
      <c r="D751" s="42"/>
      <c r="E751" s="42"/>
    </row>
    <row r="752" ht="15.75" customHeight="1">
      <c r="D752" s="42"/>
      <c r="E752" s="42"/>
    </row>
    <row r="753" ht="15.75" customHeight="1">
      <c r="D753" s="42"/>
      <c r="E753" s="42"/>
    </row>
    <row r="754" ht="15.75" customHeight="1">
      <c r="D754" s="42"/>
      <c r="E754" s="42"/>
    </row>
    <row r="755" ht="15.75" customHeight="1">
      <c r="D755" s="42"/>
      <c r="E755" s="42"/>
    </row>
    <row r="756" ht="15.75" customHeight="1">
      <c r="D756" s="42"/>
      <c r="E756" s="42"/>
    </row>
    <row r="757" ht="15.75" customHeight="1">
      <c r="D757" s="42"/>
      <c r="E757" s="42"/>
    </row>
    <row r="758" ht="15.75" customHeight="1">
      <c r="D758" s="42"/>
      <c r="E758" s="42"/>
    </row>
    <row r="759" ht="15.75" customHeight="1">
      <c r="D759" s="42"/>
      <c r="E759" s="42"/>
    </row>
    <row r="760" ht="15.75" customHeight="1">
      <c r="D760" s="42"/>
      <c r="E760" s="42"/>
    </row>
    <row r="761" ht="15.75" customHeight="1">
      <c r="D761" s="42"/>
      <c r="E761" s="42"/>
    </row>
    <row r="762" ht="15.75" customHeight="1">
      <c r="D762" s="42"/>
      <c r="E762" s="42"/>
    </row>
    <row r="763" ht="15.75" customHeight="1">
      <c r="D763" s="42"/>
      <c r="E763" s="42"/>
    </row>
    <row r="764" ht="15.75" customHeight="1">
      <c r="D764" s="42"/>
      <c r="E764" s="42"/>
    </row>
    <row r="765" ht="15.75" customHeight="1">
      <c r="D765" s="42"/>
      <c r="E765" s="42"/>
    </row>
    <row r="766" ht="15.75" customHeight="1">
      <c r="D766" s="42"/>
      <c r="E766" s="42"/>
    </row>
    <row r="767" ht="15.75" customHeight="1">
      <c r="D767" s="42"/>
      <c r="E767" s="42"/>
    </row>
    <row r="768" ht="15.75" customHeight="1">
      <c r="D768" s="42"/>
      <c r="E768" s="42"/>
    </row>
    <row r="769" ht="15.75" customHeight="1">
      <c r="D769" s="42"/>
      <c r="E769" s="42"/>
    </row>
    <row r="770" ht="15.75" customHeight="1">
      <c r="D770" s="42"/>
      <c r="E770" s="42"/>
    </row>
    <row r="771" ht="15.75" customHeight="1">
      <c r="D771" s="42"/>
      <c r="E771" s="42"/>
    </row>
    <row r="772" ht="15.75" customHeight="1">
      <c r="D772" s="42"/>
      <c r="E772" s="42"/>
    </row>
    <row r="773" ht="15.75" customHeight="1">
      <c r="D773" s="42"/>
      <c r="E773" s="42"/>
    </row>
    <row r="774" ht="15.75" customHeight="1">
      <c r="D774" s="42"/>
      <c r="E774" s="42"/>
    </row>
    <row r="775" ht="15.75" customHeight="1">
      <c r="D775" s="42"/>
      <c r="E775" s="42"/>
    </row>
    <row r="776" ht="15.75" customHeight="1">
      <c r="D776" s="42"/>
      <c r="E776" s="42"/>
    </row>
    <row r="777" ht="15.75" customHeight="1">
      <c r="D777" s="42"/>
      <c r="E777" s="42"/>
    </row>
    <row r="778" ht="15.75" customHeight="1">
      <c r="D778" s="42"/>
      <c r="E778" s="42"/>
    </row>
    <row r="779" ht="15.75" customHeight="1">
      <c r="D779" s="42"/>
      <c r="E779" s="42"/>
    </row>
    <row r="780" ht="15.75" customHeight="1">
      <c r="D780" s="42"/>
      <c r="E780" s="42"/>
    </row>
    <row r="781" ht="15.75" customHeight="1">
      <c r="D781" s="42"/>
      <c r="E781" s="42"/>
    </row>
    <row r="782" ht="15.75" customHeight="1">
      <c r="D782" s="42"/>
      <c r="E782" s="42"/>
    </row>
    <row r="783" ht="15.75" customHeight="1">
      <c r="D783" s="42"/>
      <c r="E783" s="42"/>
    </row>
    <row r="784" ht="15.75" customHeight="1">
      <c r="D784" s="42"/>
      <c r="E784" s="42"/>
    </row>
    <row r="785" ht="15.75" customHeight="1">
      <c r="D785" s="42"/>
      <c r="E785" s="42"/>
    </row>
    <row r="786" ht="15.75" customHeight="1">
      <c r="D786" s="42"/>
      <c r="E786" s="42"/>
    </row>
    <row r="787" ht="15.75" customHeight="1">
      <c r="D787" s="42"/>
      <c r="E787" s="42"/>
    </row>
    <row r="788" ht="15.75" customHeight="1">
      <c r="D788" s="42"/>
      <c r="E788" s="42"/>
    </row>
    <row r="789" ht="15.75" customHeight="1">
      <c r="D789" s="42"/>
      <c r="E789" s="42"/>
    </row>
    <row r="790" ht="15.75" customHeight="1">
      <c r="D790" s="42"/>
      <c r="E790" s="42"/>
    </row>
    <row r="791" ht="15.75" customHeight="1">
      <c r="D791" s="42"/>
      <c r="E791" s="42"/>
    </row>
    <row r="792" ht="15.75" customHeight="1">
      <c r="D792" s="42"/>
      <c r="E792" s="42"/>
    </row>
    <row r="793" ht="15.75" customHeight="1">
      <c r="D793" s="42"/>
      <c r="E793" s="42"/>
    </row>
    <row r="794" ht="15.75" customHeight="1">
      <c r="D794" s="42"/>
      <c r="E794" s="42"/>
    </row>
    <row r="795" ht="15.75" customHeight="1">
      <c r="D795" s="42"/>
      <c r="E795" s="42"/>
    </row>
    <row r="796" ht="15.75" customHeight="1">
      <c r="D796" s="42"/>
      <c r="E796" s="42"/>
    </row>
    <row r="797" ht="15.75" customHeight="1">
      <c r="D797" s="42"/>
      <c r="E797" s="42"/>
    </row>
    <row r="798" ht="15.75" customHeight="1">
      <c r="D798" s="42"/>
      <c r="E798" s="42"/>
    </row>
    <row r="799" ht="15.75" customHeight="1">
      <c r="D799" s="42"/>
      <c r="E799" s="42"/>
    </row>
    <row r="800" ht="15.75" customHeight="1">
      <c r="D800" s="42"/>
      <c r="E800" s="42"/>
    </row>
    <row r="801" ht="15.75" customHeight="1">
      <c r="D801" s="42"/>
      <c r="E801" s="42"/>
    </row>
    <row r="802" ht="15.75" customHeight="1">
      <c r="D802" s="42"/>
      <c r="E802" s="42"/>
    </row>
    <row r="803" ht="15.75" customHeight="1">
      <c r="D803" s="42"/>
      <c r="E803" s="42"/>
    </row>
    <row r="804" ht="15.75" customHeight="1">
      <c r="D804" s="42"/>
      <c r="E804" s="42"/>
    </row>
    <row r="805" ht="15.75" customHeight="1">
      <c r="D805" s="42"/>
      <c r="E805" s="42"/>
    </row>
    <row r="806" ht="15.75" customHeight="1">
      <c r="D806" s="42"/>
      <c r="E806" s="42"/>
    </row>
    <row r="807" ht="15.75" customHeight="1">
      <c r="D807" s="42"/>
      <c r="E807" s="42"/>
    </row>
    <row r="808" ht="15.75" customHeight="1">
      <c r="D808" s="42"/>
      <c r="E808" s="42"/>
    </row>
    <row r="809" ht="15.75" customHeight="1">
      <c r="D809" s="42"/>
      <c r="E809" s="42"/>
    </row>
    <row r="810" ht="15.75" customHeight="1">
      <c r="D810" s="42"/>
      <c r="E810" s="42"/>
    </row>
    <row r="811" ht="15.75" customHeight="1">
      <c r="D811" s="42"/>
      <c r="E811" s="42"/>
    </row>
    <row r="812" ht="15.75" customHeight="1">
      <c r="D812" s="42"/>
      <c r="E812" s="42"/>
    </row>
    <row r="813" ht="15.75" customHeight="1">
      <c r="D813" s="42"/>
      <c r="E813" s="42"/>
    </row>
    <row r="814" ht="15.75" customHeight="1">
      <c r="D814" s="42"/>
      <c r="E814" s="42"/>
    </row>
    <row r="815" ht="15.75" customHeight="1">
      <c r="D815" s="42"/>
      <c r="E815" s="42"/>
    </row>
    <row r="816" ht="15.75" customHeight="1">
      <c r="D816" s="42"/>
      <c r="E816" s="42"/>
    </row>
    <row r="817" ht="15.75" customHeight="1">
      <c r="D817" s="42"/>
      <c r="E817" s="42"/>
    </row>
    <row r="818" ht="15.75" customHeight="1">
      <c r="D818" s="42"/>
      <c r="E818" s="42"/>
    </row>
    <row r="819" ht="15.75" customHeight="1">
      <c r="D819" s="42"/>
      <c r="E819" s="42"/>
    </row>
    <row r="820" ht="15.75" customHeight="1">
      <c r="D820" s="42"/>
      <c r="E820" s="42"/>
    </row>
    <row r="821" ht="15.75" customHeight="1">
      <c r="D821" s="42"/>
      <c r="E821" s="42"/>
    </row>
    <row r="822" ht="15.75" customHeight="1">
      <c r="D822" s="42"/>
      <c r="E822" s="42"/>
    </row>
    <row r="823" ht="15.75" customHeight="1">
      <c r="D823" s="42"/>
      <c r="E823" s="42"/>
    </row>
    <row r="824" ht="15.75" customHeight="1">
      <c r="D824" s="42"/>
      <c r="E824" s="42"/>
    </row>
    <row r="825" ht="15.75" customHeight="1">
      <c r="D825" s="42"/>
      <c r="E825" s="42"/>
    </row>
    <row r="826" ht="15.75" customHeight="1">
      <c r="D826" s="42"/>
      <c r="E826" s="42"/>
    </row>
    <row r="827" ht="15.75" customHeight="1">
      <c r="D827" s="42"/>
      <c r="E827" s="42"/>
    </row>
    <row r="828" ht="15.75" customHeight="1">
      <c r="D828" s="42"/>
      <c r="E828" s="42"/>
    </row>
    <row r="829" ht="15.75" customHeight="1">
      <c r="D829" s="42"/>
      <c r="E829" s="42"/>
    </row>
    <row r="830" ht="15.75" customHeight="1">
      <c r="D830" s="42"/>
      <c r="E830" s="42"/>
    </row>
    <row r="831" ht="15.75" customHeight="1">
      <c r="D831" s="42"/>
      <c r="E831" s="42"/>
    </row>
    <row r="832" ht="15.75" customHeight="1">
      <c r="D832" s="42"/>
      <c r="E832" s="42"/>
    </row>
    <row r="833" ht="15.75" customHeight="1">
      <c r="D833" s="42"/>
      <c r="E833" s="42"/>
    </row>
    <row r="834" ht="15.75" customHeight="1">
      <c r="D834" s="42"/>
      <c r="E834" s="42"/>
    </row>
    <row r="835" ht="15.75" customHeight="1">
      <c r="D835" s="42"/>
      <c r="E835" s="42"/>
    </row>
    <row r="836" ht="15.75" customHeight="1">
      <c r="D836" s="42"/>
      <c r="E836" s="42"/>
    </row>
    <row r="837" ht="15.75" customHeight="1">
      <c r="D837" s="42"/>
      <c r="E837" s="42"/>
    </row>
    <row r="838" ht="15.75" customHeight="1">
      <c r="D838" s="42"/>
      <c r="E838" s="42"/>
    </row>
    <row r="839" ht="15.75" customHeight="1">
      <c r="D839" s="42"/>
      <c r="E839" s="42"/>
    </row>
    <row r="840" ht="15.75" customHeight="1">
      <c r="D840" s="42"/>
      <c r="E840" s="42"/>
    </row>
    <row r="841" ht="15.75" customHeight="1">
      <c r="D841" s="42"/>
      <c r="E841" s="42"/>
    </row>
    <row r="842" ht="15.75" customHeight="1">
      <c r="D842" s="42"/>
      <c r="E842" s="42"/>
    </row>
    <row r="843" ht="15.75" customHeight="1">
      <c r="D843" s="42"/>
      <c r="E843" s="42"/>
    </row>
    <row r="844" ht="15.75" customHeight="1">
      <c r="D844" s="42"/>
      <c r="E844" s="42"/>
    </row>
    <row r="845" ht="15.75" customHeight="1">
      <c r="D845" s="42"/>
      <c r="E845" s="42"/>
    </row>
    <row r="846" ht="15.75" customHeight="1">
      <c r="D846" s="42"/>
      <c r="E846" s="42"/>
    </row>
    <row r="847" ht="15.75" customHeight="1">
      <c r="D847" s="42"/>
      <c r="E847" s="42"/>
    </row>
    <row r="848" ht="15.75" customHeight="1">
      <c r="D848" s="42"/>
      <c r="E848" s="42"/>
    </row>
    <row r="849" ht="15.75" customHeight="1">
      <c r="D849" s="42"/>
      <c r="E849" s="42"/>
    </row>
    <row r="850" ht="15.75" customHeight="1">
      <c r="D850" s="42"/>
      <c r="E850" s="42"/>
    </row>
    <row r="851" ht="15.75" customHeight="1">
      <c r="D851" s="42"/>
      <c r="E851" s="42"/>
    </row>
    <row r="852" ht="15.75" customHeight="1">
      <c r="D852" s="42"/>
      <c r="E852" s="42"/>
    </row>
    <row r="853" ht="15.75" customHeight="1">
      <c r="D853" s="42"/>
      <c r="E853" s="42"/>
    </row>
    <row r="854" ht="15.75" customHeight="1">
      <c r="D854" s="42"/>
      <c r="E854" s="42"/>
    </row>
    <row r="855" ht="15.75" customHeight="1">
      <c r="D855" s="42"/>
      <c r="E855" s="42"/>
    </row>
    <row r="856" ht="15.75" customHeight="1">
      <c r="D856" s="42"/>
      <c r="E856" s="42"/>
    </row>
    <row r="857" ht="15.75" customHeight="1">
      <c r="D857" s="42"/>
      <c r="E857" s="42"/>
    </row>
    <row r="858" ht="15.75" customHeight="1">
      <c r="D858" s="42"/>
      <c r="E858" s="42"/>
    </row>
    <row r="859" ht="15.75" customHeight="1">
      <c r="D859" s="42"/>
      <c r="E859" s="42"/>
    </row>
    <row r="860" ht="15.75" customHeight="1">
      <c r="D860" s="42"/>
      <c r="E860" s="42"/>
    </row>
    <row r="861" ht="15.75" customHeight="1">
      <c r="D861" s="42"/>
      <c r="E861" s="42"/>
    </row>
    <row r="862" ht="15.75" customHeight="1">
      <c r="D862" s="42"/>
      <c r="E862" s="42"/>
    </row>
    <row r="863" ht="15.75" customHeight="1">
      <c r="D863" s="42"/>
      <c r="E863" s="42"/>
    </row>
    <row r="864" ht="15.75" customHeight="1">
      <c r="D864" s="42"/>
      <c r="E864" s="42"/>
    </row>
    <row r="865" ht="15.75" customHeight="1">
      <c r="D865" s="42"/>
      <c r="E865" s="42"/>
    </row>
    <row r="866" ht="15.75" customHeight="1">
      <c r="D866" s="42"/>
      <c r="E866" s="42"/>
    </row>
    <row r="867" ht="15.75" customHeight="1">
      <c r="D867" s="42"/>
      <c r="E867" s="42"/>
    </row>
    <row r="868" ht="15.75" customHeight="1">
      <c r="D868" s="42"/>
      <c r="E868" s="42"/>
    </row>
    <row r="869" ht="15.75" customHeight="1">
      <c r="D869" s="42"/>
      <c r="E869" s="42"/>
    </row>
    <row r="870" ht="15.75" customHeight="1">
      <c r="D870" s="42"/>
      <c r="E870" s="42"/>
    </row>
    <row r="871" ht="15.75" customHeight="1">
      <c r="D871" s="42"/>
      <c r="E871" s="42"/>
    </row>
    <row r="872" ht="15.75" customHeight="1">
      <c r="D872" s="42"/>
      <c r="E872" s="42"/>
    </row>
    <row r="873" ht="15.75" customHeight="1">
      <c r="D873" s="42"/>
      <c r="E873" s="42"/>
    </row>
    <row r="874" ht="15.75" customHeight="1">
      <c r="D874" s="42"/>
      <c r="E874" s="42"/>
    </row>
    <row r="875" ht="15.75" customHeight="1">
      <c r="D875" s="42"/>
      <c r="E875" s="42"/>
    </row>
    <row r="876" ht="15.75" customHeight="1">
      <c r="D876" s="42"/>
      <c r="E876" s="42"/>
    </row>
    <row r="877" ht="15.75" customHeight="1">
      <c r="D877" s="42"/>
      <c r="E877" s="42"/>
    </row>
    <row r="878" ht="15.75" customHeight="1">
      <c r="D878" s="42"/>
      <c r="E878" s="42"/>
    </row>
    <row r="879" ht="15.75" customHeight="1">
      <c r="D879" s="42"/>
      <c r="E879" s="42"/>
    </row>
    <row r="880" ht="15.75" customHeight="1">
      <c r="D880" s="42"/>
      <c r="E880" s="42"/>
    </row>
    <row r="881" ht="15.75" customHeight="1">
      <c r="D881" s="42"/>
      <c r="E881" s="42"/>
    </row>
    <row r="882" ht="15.75" customHeight="1">
      <c r="D882" s="42"/>
      <c r="E882" s="42"/>
    </row>
    <row r="883" ht="15.75" customHeight="1">
      <c r="D883" s="42"/>
      <c r="E883" s="42"/>
    </row>
    <row r="884" ht="15.75" customHeight="1">
      <c r="D884" s="42"/>
      <c r="E884" s="42"/>
    </row>
    <row r="885" ht="15.75" customHeight="1">
      <c r="D885" s="42"/>
      <c r="E885" s="42"/>
    </row>
    <row r="886" ht="15.75" customHeight="1">
      <c r="D886" s="42"/>
      <c r="E886" s="42"/>
    </row>
    <row r="887" ht="15.75" customHeight="1">
      <c r="D887" s="42"/>
      <c r="E887" s="42"/>
    </row>
    <row r="888" ht="15.75" customHeight="1">
      <c r="D888" s="42"/>
      <c r="E888" s="42"/>
    </row>
    <row r="889" ht="15.75" customHeight="1">
      <c r="D889" s="42"/>
      <c r="E889" s="42"/>
    </row>
    <row r="890" ht="15.75" customHeight="1">
      <c r="D890" s="42"/>
      <c r="E890" s="42"/>
    </row>
    <row r="891" ht="15.75" customHeight="1">
      <c r="D891" s="42"/>
      <c r="E891" s="42"/>
    </row>
    <row r="892" ht="15.75" customHeight="1">
      <c r="D892" s="42"/>
      <c r="E892" s="42"/>
    </row>
    <row r="893" ht="15.75" customHeight="1">
      <c r="D893" s="42"/>
      <c r="E893" s="42"/>
    </row>
    <row r="894" ht="15.75" customHeight="1">
      <c r="D894" s="42"/>
      <c r="E894" s="42"/>
    </row>
    <row r="895" ht="15.75" customHeight="1">
      <c r="D895" s="42"/>
      <c r="E895" s="42"/>
    </row>
    <row r="896" ht="15.75" customHeight="1">
      <c r="D896" s="42"/>
      <c r="E896" s="42"/>
    </row>
    <row r="897" ht="15.75" customHeight="1">
      <c r="D897" s="42"/>
      <c r="E897" s="42"/>
    </row>
    <row r="898" ht="15.75" customHeight="1">
      <c r="D898" s="42"/>
      <c r="E898" s="42"/>
    </row>
    <row r="899" ht="15.75" customHeight="1">
      <c r="D899" s="42"/>
      <c r="E899" s="42"/>
    </row>
    <row r="900" ht="15.75" customHeight="1">
      <c r="D900" s="42"/>
      <c r="E900" s="42"/>
    </row>
    <row r="901" ht="15.75" customHeight="1">
      <c r="D901" s="42"/>
      <c r="E901" s="42"/>
    </row>
    <row r="902" ht="15.75" customHeight="1">
      <c r="D902" s="42"/>
      <c r="E902" s="42"/>
    </row>
    <row r="903" ht="15.75" customHeight="1">
      <c r="D903" s="42"/>
      <c r="E903" s="42"/>
    </row>
    <row r="904" ht="15.75" customHeight="1">
      <c r="D904" s="42"/>
      <c r="E904" s="42"/>
    </row>
    <row r="905" ht="15.75" customHeight="1">
      <c r="D905" s="42"/>
      <c r="E905" s="42"/>
    </row>
    <row r="906" ht="15.75" customHeight="1">
      <c r="D906" s="42"/>
      <c r="E906" s="42"/>
    </row>
    <row r="907" ht="15.75" customHeight="1">
      <c r="D907" s="42"/>
      <c r="E907" s="42"/>
    </row>
    <row r="908" ht="15.75" customHeight="1">
      <c r="D908" s="42"/>
      <c r="E908" s="42"/>
    </row>
    <row r="909" ht="15.75" customHeight="1">
      <c r="D909" s="42"/>
      <c r="E909" s="42"/>
    </row>
    <row r="910" ht="15.75" customHeight="1">
      <c r="D910" s="42"/>
      <c r="E910" s="42"/>
    </row>
    <row r="911" ht="15.75" customHeight="1">
      <c r="D911" s="42"/>
      <c r="E911" s="42"/>
    </row>
    <row r="912" ht="15.75" customHeight="1">
      <c r="D912" s="42"/>
      <c r="E912" s="42"/>
    </row>
    <row r="913" ht="15.75" customHeight="1">
      <c r="D913" s="42"/>
      <c r="E913" s="42"/>
    </row>
    <row r="914" ht="15.75" customHeight="1">
      <c r="D914" s="42"/>
      <c r="E914" s="42"/>
    </row>
    <row r="915" ht="15.75" customHeight="1">
      <c r="D915" s="42"/>
      <c r="E915" s="42"/>
    </row>
    <row r="916" ht="15.75" customHeight="1">
      <c r="D916" s="42"/>
      <c r="E916" s="42"/>
    </row>
    <row r="917" ht="15.75" customHeight="1">
      <c r="D917" s="42"/>
      <c r="E917" s="42"/>
    </row>
    <row r="918" ht="15.75" customHeight="1">
      <c r="D918" s="42"/>
      <c r="E918" s="42"/>
    </row>
    <row r="919" ht="15.75" customHeight="1">
      <c r="D919" s="42"/>
      <c r="E919" s="42"/>
    </row>
    <row r="920" ht="15.75" customHeight="1">
      <c r="D920" s="42"/>
      <c r="E920" s="42"/>
    </row>
    <row r="921" ht="15.75" customHeight="1">
      <c r="D921" s="42"/>
      <c r="E921" s="42"/>
    </row>
    <row r="922" ht="15.75" customHeight="1">
      <c r="D922" s="42"/>
      <c r="E922" s="42"/>
    </row>
    <row r="923" ht="15.75" customHeight="1">
      <c r="D923" s="42"/>
      <c r="E923" s="42"/>
    </row>
    <row r="924" ht="15.75" customHeight="1">
      <c r="D924" s="42"/>
      <c r="E924" s="42"/>
    </row>
    <row r="925" ht="15.75" customHeight="1">
      <c r="D925" s="42"/>
      <c r="E925" s="42"/>
    </row>
    <row r="926" ht="15.75" customHeight="1">
      <c r="D926" s="42"/>
      <c r="E926" s="42"/>
    </row>
    <row r="927" ht="15.75" customHeight="1">
      <c r="D927" s="42"/>
      <c r="E927" s="42"/>
    </row>
    <row r="928" ht="15.75" customHeight="1">
      <c r="D928" s="42"/>
      <c r="E928" s="42"/>
    </row>
    <row r="929" ht="15.75" customHeight="1">
      <c r="D929" s="42"/>
      <c r="E929" s="42"/>
    </row>
    <row r="930" ht="15.75" customHeight="1">
      <c r="D930" s="42"/>
      <c r="E930" s="42"/>
    </row>
    <row r="931" ht="15.75" customHeight="1">
      <c r="D931" s="42"/>
      <c r="E931" s="42"/>
    </row>
    <row r="932" ht="15.75" customHeight="1">
      <c r="D932" s="42"/>
      <c r="E932" s="42"/>
    </row>
    <row r="933" ht="15.75" customHeight="1">
      <c r="D933" s="42"/>
      <c r="E933" s="42"/>
    </row>
    <row r="934" ht="15.75" customHeight="1">
      <c r="D934" s="42"/>
      <c r="E934" s="42"/>
    </row>
    <row r="935" ht="15.75" customHeight="1">
      <c r="D935" s="42"/>
      <c r="E935" s="42"/>
    </row>
    <row r="936" ht="15.75" customHeight="1">
      <c r="D936" s="42"/>
      <c r="E936" s="42"/>
    </row>
    <row r="937" ht="15.75" customHeight="1">
      <c r="D937" s="42"/>
      <c r="E937" s="42"/>
    </row>
    <row r="938" ht="15.75" customHeight="1">
      <c r="D938" s="42"/>
      <c r="E938" s="42"/>
    </row>
    <row r="939" ht="15.75" customHeight="1">
      <c r="D939" s="42"/>
      <c r="E939" s="42"/>
    </row>
    <row r="940" ht="15.75" customHeight="1">
      <c r="D940" s="42"/>
      <c r="E940" s="42"/>
    </row>
    <row r="941" ht="15.75" customHeight="1">
      <c r="D941" s="42"/>
      <c r="E941" s="42"/>
    </row>
    <row r="942" ht="15.75" customHeight="1">
      <c r="D942" s="42"/>
      <c r="E942" s="42"/>
    </row>
    <row r="943" ht="15.75" customHeight="1">
      <c r="D943" s="42"/>
      <c r="E943" s="42"/>
    </row>
    <row r="944" ht="15.75" customHeight="1">
      <c r="D944" s="42"/>
      <c r="E944" s="42"/>
    </row>
    <row r="945" ht="15.75" customHeight="1">
      <c r="D945" s="42"/>
      <c r="E945" s="42"/>
    </row>
    <row r="946" ht="15.75" customHeight="1">
      <c r="D946" s="42"/>
      <c r="E946" s="42"/>
    </row>
    <row r="947" ht="15.75" customHeight="1">
      <c r="D947" s="42"/>
      <c r="E947" s="42"/>
    </row>
    <row r="948" ht="15.75" customHeight="1">
      <c r="D948" s="42"/>
      <c r="E948" s="42"/>
    </row>
    <row r="949" ht="15.75" customHeight="1">
      <c r="D949" s="42"/>
      <c r="E949" s="42"/>
    </row>
    <row r="950" ht="15.75" customHeight="1">
      <c r="D950" s="42"/>
      <c r="E950" s="42"/>
    </row>
    <row r="951" ht="15.75" customHeight="1">
      <c r="D951" s="42"/>
      <c r="E951" s="42"/>
    </row>
    <row r="952" ht="15.75" customHeight="1">
      <c r="D952" s="42"/>
      <c r="E952" s="42"/>
    </row>
    <row r="953" ht="15.75" customHeight="1">
      <c r="D953" s="42"/>
      <c r="E953" s="42"/>
    </row>
    <row r="954" ht="15.75" customHeight="1">
      <c r="D954" s="42"/>
      <c r="E954" s="42"/>
    </row>
    <row r="955" ht="15.75" customHeight="1">
      <c r="D955" s="42"/>
      <c r="E955" s="42"/>
    </row>
    <row r="956" ht="15.75" customHeight="1">
      <c r="D956" s="42"/>
      <c r="E956" s="42"/>
    </row>
    <row r="957" ht="15.75" customHeight="1">
      <c r="D957" s="42"/>
      <c r="E957" s="42"/>
    </row>
    <row r="958" ht="15.75" customHeight="1">
      <c r="D958" s="42"/>
      <c r="E958" s="42"/>
    </row>
    <row r="959" ht="15.75" customHeight="1">
      <c r="D959" s="42"/>
      <c r="E959" s="42"/>
    </row>
    <row r="960" ht="15.75" customHeight="1">
      <c r="D960" s="42"/>
      <c r="E960" s="42"/>
    </row>
    <row r="961" ht="15.75" customHeight="1">
      <c r="D961" s="42"/>
      <c r="E961" s="42"/>
    </row>
    <row r="962" ht="15.75" customHeight="1">
      <c r="D962" s="42"/>
      <c r="E962" s="42"/>
    </row>
    <row r="963" ht="15.75" customHeight="1">
      <c r="D963" s="42"/>
      <c r="E963" s="42"/>
    </row>
    <row r="964" ht="15.75" customHeight="1">
      <c r="D964" s="42"/>
      <c r="E964" s="42"/>
    </row>
    <row r="965" ht="15.75" customHeight="1">
      <c r="D965" s="42"/>
      <c r="E965" s="42"/>
    </row>
    <row r="966" ht="15.75" customHeight="1">
      <c r="D966" s="42"/>
      <c r="E966" s="42"/>
    </row>
    <row r="967" ht="15.75" customHeight="1">
      <c r="D967" s="42"/>
      <c r="E967" s="42"/>
    </row>
    <row r="968" ht="15.75" customHeight="1">
      <c r="D968" s="42"/>
      <c r="E968" s="42"/>
    </row>
    <row r="969" ht="15.75" customHeight="1">
      <c r="D969" s="42"/>
      <c r="E969" s="42"/>
    </row>
    <row r="970" ht="15.75" customHeight="1">
      <c r="D970" s="42"/>
      <c r="E970" s="42"/>
    </row>
    <row r="971" ht="15.75" customHeight="1">
      <c r="D971" s="42"/>
      <c r="E971" s="42"/>
    </row>
    <row r="972" ht="15.75" customHeight="1">
      <c r="D972" s="42"/>
      <c r="E972" s="42"/>
    </row>
    <row r="973" ht="15.75" customHeight="1">
      <c r="D973" s="42"/>
      <c r="E973" s="42"/>
    </row>
    <row r="974" ht="15.75" customHeight="1">
      <c r="D974" s="42"/>
      <c r="E974" s="42"/>
    </row>
    <row r="975" ht="15.75" customHeight="1">
      <c r="D975" s="42"/>
      <c r="E975" s="42"/>
    </row>
    <row r="976" ht="15.75" customHeight="1">
      <c r="D976" s="42"/>
      <c r="E976" s="42"/>
    </row>
    <row r="977" ht="15.75" customHeight="1">
      <c r="D977" s="42"/>
      <c r="E977" s="42"/>
    </row>
    <row r="978" ht="15.75" customHeight="1">
      <c r="D978" s="42"/>
      <c r="E978" s="42"/>
    </row>
    <row r="979" ht="15.75" customHeight="1">
      <c r="D979" s="42"/>
      <c r="E979" s="42"/>
    </row>
    <row r="980" ht="15.75" customHeight="1">
      <c r="D980" s="42"/>
      <c r="E980" s="42"/>
    </row>
    <row r="981" ht="15.75" customHeight="1">
      <c r="D981" s="42"/>
      <c r="E981" s="42"/>
    </row>
    <row r="982" ht="15.75" customHeight="1">
      <c r="D982" s="42"/>
      <c r="E982" s="42"/>
    </row>
    <row r="983" ht="15.75" customHeight="1">
      <c r="D983" s="42"/>
      <c r="E983" s="42"/>
    </row>
    <row r="984" ht="15.75" customHeight="1">
      <c r="D984" s="42"/>
      <c r="E984" s="42"/>
    </row>
    <row r="985" ht="15.75" customHeight="1">
      <c r="D985" s="42"/>
      <c r="E985" s="42"/>
    </row>
    <row r="986" ht="15.75" customHeight="1">
      <c r="D986" s="42"/>
      <c r="E986" s="42"/>
    </row>
    <row r="987" ht="15.75" customHeight="1">
      <c r="D987" s="42"/>
      <c r="E987" s="42"/>
    </row>
    <row r="988" ht="15.75" customHeight="1">
      <c r="D988" s="42"/>
      <c r="E988" s="42"/>
    </row>
    <row r="989" ht="15.75" customHeight="1">
      <c r="D989" s="42"/>
      <c r="E989" s="42"/>
    </row>
    <row r="990" ht="15.75" customHeight="1">
      <c r="D990" s="42"/>
      <c r="E990" s="42"/>
    </row>
    <row r="991" ht="15.75" customHeight="1">
      <c r="D991" s="42"/>
      <c r="E991" s="42"/>
    </row>
    <row r="992" ht="15.75" customHeight="1">
      <c r="D992" s="42"/>
      <c r="E992" s="42"/>
    </row>
    <row r="993" ht="15.75" customHeight="1">
      <c r="D993" s="42"/>
      <c r="E993" s="42"/>
    </row>
    <row r="994" ht="15.75" customHeight="1">
      <c r="D994" s="42"/>
      <c r="E994" s="42"/>
    </row>
    <row r="995" ht="15.75" customHeight="1">
      <c r="D995" s="42"/>
      <c r="E995" s="42"/>
    </row>
    <row r="996" ht="15.75" customHeight="1">
      <c r="D996" s="42"/>
      <c r="E996" s="42"/>
    </row>
    <row r="997" ht="15.75" customHeight="1">
      <c r="D997" s="42"/>
      <c r="E997" s="42"/>
    </row>
    <row r="998" ht="15.75" customHeight="1">
      <c r="D998" s="42"/>
      <c r="E998" s="42"/>
    </row>
    <row r="999" ht="15.75" customHeight="1">
      <c r="D999" s="42"/>
      <c r="E999" s="42"/>
    </row>
    <row r="1000" ht="15.75" customHeight="1">
      <c r="D1000" s="42"/>
      <c r="E1000" s="42"/>
    </row>
  </sheetData>
  <mergeCells count="12">
    <mergeCell ref="O6:R6"/>
    <mergeCell ref="S6:V6"/>
    <mergeCell ref="A23:C23"/>
    <mergeCell ref="A24:C24"/>
    <mergeCell ref="A1:Z2"/>
    <mergeCell ref="A3:Z4"/>
    <mergeCell ref="A5:Z5"/>
    <mergeCell ref="A6:A7"/>
    <mergeCell ref="E6:E7"/>
    <mergeCell ref="F6:I6"/>
    <mergeCell ref="J6:N6"/>
    <mergeCell ref="W6:Z6"/>
  </mergeCells>
  <printOptions/>
  <pageMargins bottom="0.2" footer="0.0" header="0.0" left="0.2" right="0.2" top="0.2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2.57"/>
    <col customWidth="1" min="3" max="3" width="9.86"/>
    <col customWidth="1" min="4" max="4" width="11.43"/>
    <col customWidth="1" min="5" max="5" width="13.29"/>
    <col customWidth="1" min="6" max="6" width="13.14"/>
    <col customWidth="1" hidden="1" min="7" max="7" width="11.71"/>
    <col customWidth="1" min="8" max="8" width="10.29"/>
    <col customWidth="1" min="9" max="9" width="9.57"/>
    <col customWidth="1" min="10" max="10" width="12.29"/>
    <col customWidth="1" hidden="1" min="11" max="11" width="12.29"/>
    <col customWidth="1" min="12" max="12" width="14.43"/>
    <col customWidth="1" min="13" max="13" width="9.0"/>
    <col customWidth="1" hidden="1" min="14" max="14" width="9.29"/>
    <col customWidth="1" min="15" max="15" width="13.43"/>
    <col customWidth="1" hidden="1" min="16" max="16" width="14.29"/>
    <col customWidth="1" min="17" max="17" width="10.29"/>
    <col customWidth="1" min="18" max="18" width="9.29"/>
    <col customWidth="1" min="19" max="19" width="13.29"/>
    <col customWidth="1" hidden="1" min="20" max="20" width="13.43"/>
    <col customWidth="1" min="21" max="21" width="10.71"/>
    <col customWidth="1" min="22" max="22" width="9.29"/>
    <col customWidth="1" min="23" max="23" width="15.0"/>
    <col customWidth="1" hidden="1" min="24" max="24" width="2.29"/>
    <col customWidth="1" min="25" max="25" width="17.43"/>
    <col customWidth="1" hidden="1" min="26" max="26" width="0.43"/>
    <col customWidth="1" min="27" max="27" width="9.57"/>
    <col customWidth="1" min="28" max="28" width="11.57"/>
  </cols>
  <sheetData>
    <row r="1">
      <c r="A1" s="1" t="s">
        <v>0</v>
      </c>
    </row>
    <row r="3">
      <c r="A3" s="2" t="s">
        <v>1</v>
      </c>
    </row>
    <row r="5">
      <c r="A5" s="3" t="s">
        <v>45</v>
      </c>
    </row>
    <row r="6">
      <c r="A6" s="4" t="s">
        <v>3</v>
      </c>
      <c r="B6" s="5" t="s">
        <v>4</v>
      </c>
      <c r="C6" s="5" t="s">
        <v>5</v>
      </c>
      <c r="D6" s="5" t="s">
        <v>6</v>
      </c>
      <c r="E6" s="4" t="s">
        <v>7</v>
      </c>
      <c r="F6" s="6" t="s">
        <v>8</v>
      </c>
      <c r="G6" s="7"/>
      <c r="H6" s="7"/>
      <c r="I6" s="8"/>
      <c r="J6" s="6" t="s">
        <v>9</v>
      </c>
      <c r="K6" s="7"/>
      <c r="L6" s="7"/>
      <c r="M6" s="8"/>
      <c r="N6" s="75"/>
      <c r="O6" s="6" t="s">
        <v>10</v>
      </c>
      <c r="P6" s="7"/>
      <c r="Q6" s="7"/>
      <c r="R6" s="8"/>
      <c r="S6" s="6" t="s">
        <v>11</v>
      </c>
      <c r="T6" s="7"/>
      <c r="U6" s="7"/>
      <c r="V6" s="8"/>
      <c r="W6" s="6" t="s">
        <v>12</v>
      </c>
      <c r="X6" s="7"/>
      <c r="Y6" s="7"/>
      <c r="Z6" s="7"/>
      <c r="AA6" s="8"/>
    </row>
    <row r="7">
      <c r="A7" s="9"/>
      <c r="B7" s="10"/>
      <c r="C7" s="10"/>
      <c r="D7" s="10"/>
      <c r="E7" s="11"/>
      <c r="F7" s="12" t="s">
        <v>13</v>
      </c>
      <c r="G7" s="12"/>
      <c r="H7" s="12" t="s">
        <v>14</v>
      </c>
      <c r="I7" s="12" t="s">
        <v>15</v>
      </c>
      <c r="J7" s="12" t="s">
        <v>13</v>
      </c>
      <c r="K7" s="12"/>
      <c r="L7" s="12" t="s">
        <v>14</v>
      </c>
      <c r="M7" s="12" t="s">
        <v>15</v>
      </c>
      <c r="N7" s="12"/>
      <c r="O7" s="12" t="s">
        <v>13</v>
      </c>
      <c r="P7" s="12"/>
      <c r="Q7" s="12" t="s">
        <v>14</v>
      </c>
      <c r="R7" s="12" t="s">
        <v>15</v>
      </c>
      <c r="S7" s="12" t="s">
        <v>13</v>
      </c>
      <c r="T7" s="12"/>
      <c r="U7" s="12" t="s">
        <v>14</v>
      </c>
      <c r="V7" s="12" t="s">
        <v>15</v>
      </c>
      <c r="W7" s="12" t="s">
        <v>13</v>
      </c>
      <c r="X7" s="12"/>
      <c r="Y7" s="12" t="s">
        <v>14</v>
      </c>
      <c r="Z7" s="12"/>
      <c r="AA7" s="12" t="s">
        <v>15</v>
      </c>
    </row>
    <row r="8">
      <c r="A8" s="13">
        <v>1.0</v>
      </c>
      <c r="B8" s="14" t="s">
        <v>16</v>
      </c>
      <c r="C8" s="13" t="s">
        <v>17</v>
      </c>
      <c r="D8" s="13">
        <v>70.79</v>
      </c>
      <c r="E8" s="15">
        <v>500.0</v>
      </c>
      <c r="F8" s="16">
        <f t="shared" ref="F8:F22" si="1">W8/2</f>
        <v>646</v>
      </c>
      <c r="G8" s="17">
        <f t="shared" ref="G8:G23" si="2">F8*D8</f>
        <v>45730.34</v>
      </c>
      <c r="H8" s="18"/>
      <c r="I8" s="19"/>
      <c r="J8" s="19">
        <v>646.0</v>
      </c>
      <c r="K8" s="19">
        <f t="shared" ref="K8:K22" si="3">J8*D8</f>
        <v>45730.34</v>
      </c>
      <c r="L8" s="20">
        <v>5.0</v>
      </c>
      <c r="M8" s="21">
        <f t="shared" ref="M8:M24" si="4">L8/J8</f>
        <v>0.00773993808</v>
      </c>
      <c r="N8" s="76">
        <f t="shared" ref="N8:N22" si="5">L8*D8</f>
        <v>353.95</v>
      </c>
      <c r="O8" s="19">
        <f t="shared" ref="O8:O22" si="6">W8/2</f>
        <v>646</v>
      </c>
      <c r="P8" s="22">
        <f t="shared" ref="P8:P23" si="7">O8*D8</f>
        <v>45730.34</v>
      </c>
      <c r="Q8" s="18"/>
      <c r="R8" s="18"/>
      <c r="S8" s="18">
        <v>646.0</v>
      </c>
      <c r="T8" s="18">
        <f t="shared" ref="T8:T22" si="8">S8*D8</f>
        <v>45730.34</v>
      </c>
      <c r="U8" s="18"/>
      <c r="V8" s="18"/>
      <c r="W8" s="16">
        <v>1292.0</v>
      </c>
      <c r="X8" s="23">
        <f t="shared" ref="X8:X23" si="9">W8*D8</f>
        <v>91460.68</v>
      </c>
      <c r="Y8" s="18">
        <v>15.0</v>
      </c>
      <c r="Z8" s="19">
        <f t="shared" ref="Z8:Z22" si="10">Y8*D8</f>
        <v>1061.85</v>
      </c>
      <c r="AA8" s="24">
        <f t="shared" ref="AA8:AA24" si="11">Y8/W8</f>
        <v>0.01160990712</v>
      </c>
      <c r="AB8" s="25"/>
    </row>
    <row r="9">
      <c r="A9" s="26">
        <v>2.0</v>
      </c>
      <c r="B9" s="27" t="s">
        <v>18</v>
      </c>
      <c r="C9" s="26" t="s">
        <v>17</v>
      </c>
      <c r="D9" s="26">
        <v>89.37</v>
      </c>
      <c r="E9" s="28">
        <v>500.0</v>
      </c>
      <c r="F9" s="29">
        <f t="shared" si="1"/>
        <v>646</v>
      </c>
      <c r="G9" s="23">
        <f t="shared" si="2"/>
        <v>57733.02</v>
      </c>
      <c r="H9" s="30"/>
      <c r="I9" s="31"/>
      <c r="J9" s="31">
        <v>646.0</v>
      </c>
      <c r="K9" s="19">
        <f t="shared" si="3"/>
        <v>57733.02</v>
      </c>
      <c r="L9" s="22">
        <v>10.0</v>
      </c>
      <c r="M9" s="32">
        <f t="shared" si="4"/>
        <v>0.01547987616</v>
      </c>
      <c r="N9" s="76">
        <f t="shared" si="5"/>
        <v>893.7</v>
      </c>
      <c r="O9" s="31">
        <f t="shared" si="6"/>
        <v>646</v>
      </c>
      <c r="P9" s="22">
        <f t="shared" si="7"/>
        <v>57733.02</v>
      </c>
      <c r="Q9" s="30"/>
      <c r="R9" s="30"/>
      <c r="S9" s="30">
        <v>646.0</v>
      </c>
      <c r="T9" s="18">
        <f t="shared" si="8"/>
        <v>57733.02</v>
      </c>
      <c r="U9" s="30"/>
      <c r="V9" s="30"/>
      <c r="W9" s="29">
        <v>1292.0</v>
      </c>
      <c r="X9" s="23">
        <f t="shared" si="9"/>
        <v>115466.04</v>
      </c>
      <c r="Y9" s="30">
        <v>15.0</v>
      </c>
      <c r="Z9" s="19">
        <f t="shared" si="10"/>
        <v>1340.55</v>
      </c>
      <c r="AA9" s="24">
        <f t="shared" si="11"/>
        <v>0.01160990712</v>
      </c>
      <c r="AB9" s="25"/>
    </row>
    <row r="10">
      <c r="A10" s="26">
        <v>3.0</v>
      </c>
      <c r="B10" s="27" t="s">
        <v>19</v>
      </c>
      <c r="C10" s="26" t="s">
        <v>17</v>
      </c>
      <c r="D10" s="26">
        <v>112.5</v>
      </c>
      <c r="E10" s="28">
        <v>800.0</v>
      </c>
      <c r="F10" s="29">
        <f t="shared" si="1"/>
        <v>1033.5</v>
      </c>
      <c r="G10" s="23">
        <f t="shared" si="2"/>
        <v>116268.75</v>
      </c>
      <c r="H10" s="30"/>
      <c r="I10" s="31"/>
      <c r="J10" s="31">
        <v>1033.5</v>
      </c>
      <c r="K10" s="19">
        <f t="shared" si="3"/>
        <v>116268.75</v>
      </c>
      <c r="L10" s="22">
        <v>2151.0</v>
      </c>
      <c r="M10" s="32">
        <f t="shared" si="4"/>
        <v>2.081277213</v>
      </c>
      <c r="N10" s="76">
        <f t="shared" si="5"/>
        <v>241987.5</v>
      </c>
      <c r="O10" s="31">
        <f t="shared" si="6"/>
        <v>1033.5</v>
      </c>
      <c r="P10" s="22">
        <f t="shared" si="7"/>
        <v>116268.75</v>
      </c>
      <c r="Q10" s="30"/>
      <c r="R10" s="30"/>
      <c r="S10" s="30">
        <v>1033.5</v>
      </c>
      <c r="T10" s="18">
        <f t="shared" si="8"/>
        <v>116268.75</v>
      </c>
      <c r="U10" s="30"/>
      <c r="V10" s="30"/>
      <c r="W10" s="29">
        <v>2067.0</v>
      </c>
      <c r="X10" s="23">
        <f t="shared" si="9"/>
        <v>232537.5</v>
      </c>
      <c r="Y10" s="30">
        <v>3247.0</v>
      </c>
      <c r="Z10" s="19">
        <f t="shared" si="10"/>
        <v>365287.5</v>
      </c>
      <c r="AA10" s="24">
        <f t="shared" si="11"/>
        <v>1.570875665</v>
      </c>
      <c r="AB10" s="25"/>
    </row>
    <row r="11">
      <c r="A11" s="26">
        <v>4.0</v>
      </c>
      <c r="B11" s="27" t="s">
        <v>20</v>
      </c>
      <c r="C11" s="26" t="s">
        <v>21</v>
      </c>
      <c r="D11" s="26">
        <v>55.23</v>
      </c>
      <c r="E11" s="28">
        <v>200.0</v>
      </c>
      <c r="F11" s="29">
        <f t="shared" si="1"/>
        <v>258.5</v>
      </c>
      <c r="G11" s="23">
        <f t="shared" si="2"/>
        <v>14276.955</v>
      </c>
      <c r="H11" s="30"/>
      <c r="I11" s="31"/>
      <c r="J11" s="31">
        <v>258.5</v>
      </c>
      <c r="K11" s="19">
        <f t="shared" si="3"/>
        <v>14276.955</v>
      </c>
      <c r="L11" s="22">
        <v>0.0</v>
      </c>
      <c r="M11" s="32">
        <f t="shared" si="4"/>
        <v>0</v>
      </c>
      <c r="N11" s="76">
        <f t="shared" si="5"/>
        <v>0</v>
      </c>
      <c r="O11" s="31">
        <f t="shared" si="6"/>
        <v>258.5</v>
      </c>
      <c r="P11" s="22">
        <f t="shared" si="7"/>
        <v>14276.955</v>
      </c>
      <c r="Q11" s="30"/>
      <c r="R11" s="30"/>
      <c r="S11" s="30">
        <v>258.5</v>
      </c>
      <c r="T11" s="18">
        <f t="shared" si="8"/>
        <v>14276.955</v>
      </c>
      <c r="U11" s="30"/>
      <c r="V11" s="30"/>
      <c r="W11" s="29">
        <v>517.0</v>
      </c>
      <c r="X11" s="23">
        <f t="shared" si="9"/>
        <v>28553.91</v>
      </c>
      <c r="Y11" s="30">
        <v>0.0</v>
      </c>
      <c r="Z11" s="19">
        <f t="shared" si="10"/>
        <v>0</v>
      </c>
      <c r="AA11" s="24">
        <f t="shared" si="11"/>
        <v>0</v>
      </c>
      <c r="AB11" s="25"/>
    </row>
    <row r="12">
      <c r="A12" s="26">
        <v>5.0</v>
      </c>
      <c r="B12" s="27" t="s">
        <v>22</v>
      </c>
      <c r="C12" s="26" t="s">
        <v>23</v>
      </c>
      <c r="D12" s="26">
        <v>192.63</v>
      </c>
      <c r="E12" s="28">
        <v>192.0</v>
      </c>
      <c r="F12" s="29">
        <f t="shared" si="1"/>
        <v>248</v>
      </c>
      <c r="G12" s="23">
        <f t="shared" si="2"/>
        <v>47772.24</v>
      </c>
      <c r="H12" s="30"/>
      <c r="I12" s="31"/>
      <c r="J12" s="31">
        <v>248.0</v>
      </c>
      <c r="K12" s="19">
        <f t="shared" si="3"/>
        <v>47772.24</v>
      </c>
      <c r="L12" s="22">
        <v>10.0</v>
      </c>
      <c r="M12" s="32">
        <f t="shared" si="4"/>
        <v>0.04032258065</v>
      </c>
      <c r="N12" s="76">
        <f t="shared" si="5"/>
        <v>1926.3</v>
      </c>
      <c r="O12" s="31">
        <f t="shared" si="6"/>
        <v>248</v>
      </c>
      <c r="P12" s="22">
        <f t="shared" si="7"/>
        <v>47772.24</v>
      </c>
      <c r="Q12" s="30"/>
      <c r="R12" s="30"/>
      <c r="S12" s="30">
        <v>248.0</v>
      </c>
      <c r="T12" s="18">
        <f t="shared" si="8"/>
        <v>47772.24</v>
      </c>
      <c r="U12" s="30"/>
      <c r="V12" s="30"/>
      <c r="W12" s="29">
        <v>496.0</v>
      </c>
      <c r="X12" s="23">
        <f t="shared" si="9"/>
        <v>95544.48</v>
      </c>
      <c r="Y12" s="30">
        <v>1.0</v>
      </c>
      <c r="Z12" s="19">
        <f t="shared" si="10"/>
        <v>192.63</v>
      </c>
      <c r="AA12" s="24">
        <f t="shared" si="11"/>
        <v>0.002016129032</v>
      </c>
      <c r="AB12" s="25"/>
    </row>
    <row r="13">
      <c r="A13" s="26">
        <v>6.0</v>
      </c>
      <c r="B13" s="27" t="s">
        <v>24</v>
      </c>
      <c r="C13" s="26" t="s">
        <v>23</v>
      </c>
      <c r="D13" s="26">
        <v>195.0</v>
      </c>
      <c r="E13" s="28">
        <v>30.0</v>
      </c>
      <c r="F13" s="29">
        <f t="shared" si="1"/>
        <v>39</v>
      </c>
      <c r="G13" s="23">
        <f t="shared" si="2"/>
        <v>7605</v>
      </c>
      <c r="H13" s="30"/>
      <c r="I13" s="31"/>
      <c r="J13" s="31">
        <v>39.0</v>
      </c>
      <c r="K13" s="19">
        <f t="shared" si="3"/>
        <v>7605</v>
      </c>
      <c r="L13" s="22">
        <v>0.0</v>
      </c>
      <c r="M13" s="32">
        <f t="shared" si="4"/>
        <v>0</v>
      </c>
      <c r="N13" s="76">
        <f t="shared" si="5"/>
        <v>0</v>
      </c>
      <c r="O13" s="31">
        <f t="shared" si="6"/>
        <v>39</v>
      </c>
      <c r="P13" s="22">
        <f t="shared" si="7"/>
        <v>7605</v>
      </c>
      <c r="Q13" s="30"/>
      <c r="R13" s="30"/>
      <c r="S13" s="30">
        <v>39.0</v>
      </c>
      <c r="T13" s="18">
        <f t="shared" si="8"/>
        <v>7605</v>
      </c>
      <c r="U13" s="30"/>
      <c r="V13" s="30"/>
      <c r="W13" s="29">
        <v>78.0</v>
      </c>
      <c r="X13" s="23">
        <f t="shared" si="9"/>
        <v>15210</v>
      </c>
      <c r="Y13" s="30">
        <v>0.0</v>
      </c>
      <c r="Z13" s="19">
        <f t="shared" si="10"/>
        <v>0</v>
      </c>
      <c r="AA13" s="24">
        <f t="shared" si="11"/>
        <v>0</v>
      </c>
      <c r="AB13" s="25"/>
    </row>
    <row r="14">
      <c r="A14" s="26">
        <v>7.0</v>
      </c>
      <c r="B14" s="27" t="s">
        <v>25</v>
      </c>
      <c r="C14" s="26" t="s">
        <v>23</v>
      </c>
      <c r="D14" s="26">
        <v>648.52</v>
      </c>
      <c r="E14" s="28">
        <v>30.0</v>
      </c>
      <c r="F14" s="29">
        <f t="shared" si="1"/>
        <v>39</v>
      </c>
      <c r="G14" s="23">
        <f t="shared" si="2"/>
        <v>25292.28</v>
      </c>
      <c r="H14" s="30"/>
      <c r="I14" s="31"/>
      <c r="J14" s="31">
        <v>39.0</v>
      </c>
      <c r="K14" s="19">
        <f t="shared" si="3"/>
        <v>25292.28</v>
      </c>
      <c r="L14" s="22">
        <v>0.0</v>
      </c>
      <c r="M14" s="32">
        <f t="shared" si="4"/>
        <v>0</v>
      </c>
      <c r="N14" s="76">
        <f t="shared" si="5"/>
        <v>0</v>
      </c>
      <c r="O14" s="31">
        <f t="shared" si="6"/>
        <v>39</v>
      </c>
      <c r="P14" s="22">
        <f t="shared" si="7"/>
        <v>25292.28</v>
      </c>
      <c r="Q14" s="30"/>
      <c r="R14" s="30"/>
      <c r="S14" s="30">
        <v>39.0</v>
      </c>
      <c r="T14" s="18">
        <f t="shared" si="8"/>
        <v>25292.28</v>
      </c>
      <c r="U14" s="30"/>
      <c r="V14" s="30"/>
      <c r="W14" s="29">
        <v>78.0</v>
      </c>
      <c r="X14" s="23">
        <f t="shared" si="9"/>
        <v>50584.56</v>
      </c>
      <c r="Y14" s="30">
        <v>1.0</v>
      </c>
      <c r="Z14" s="19">
        <f t="shared" si="10"/>
        <v>648.52</v>
      </c>
      <c r="AA14" s="24">
        <f t="shared" si="11"/>
        <v>0.01282051282</v>
      </c>
      <c r="AB14" s="25"/>
    </row>
    <row r="15">
      <c r="A15" s="26">
        <v>8.0</v>
      </c>
      <c r="B15" s="27" t="s">
        <v>26</v>
      </c>
      <c r="C15" s="26" t="s">
        <v>21</v>
      </c>
      <c r="D15" s="26">
        <v>51.0</v>
      </c>
      <c r="E15" s="28">
        <v>300.0</v>
      </c>
      <c r="F15" s="29">
        <f t="shared" si="1"/>
        <v>387.5</v>
      </c>
      <c r="G15" s="23">
        <f t="shared" si="2"/>
        <v>19762.5</v>
      </c>
      <c r="H15" s="30"/>
      <c r="I15" s="31"/>
      <c r="J15" s="31">
        <v>387.5</v>
      </c>
      <c r="K15" s="19">
        <f t="shared" si="3"/>
        <v>19762.5</v>
      </c>
      <c r="L15" s="22">
        <v>104.0</v>
      </c>
      <c r="M15" s="32">
        <f t="shared" si="4"/>
        <v>0.2683870968</v>
      </c>
      <c r="N15" s="76">
        <f t="shared" si="5"/>
        <v>5304</v>
      </c>
      <c r="O15" s="31">
        <f t="shared" si="6"/>
        <v>387.5</v>
      </c>
      <c r="P15" s="22">
        <f t="shared" si="7"/>
        <v>19762.5</v>
      </c>
      <c r="Q15" s="30"/>
      <c r="R15" s="30"/>
      <c r="S15" s="30">
        <v>387.5</v>
      </c>
      <c r="T15" s="18">
        <f t="shared" si="8"/>
        <v>19762.5</v>
      </c>
      <c r="U15" s="30"/>
      <c r="V15" s="30"/>
      <c r="W15" s="29">
        <v>775.0</v>
      </c>
      <c r="X15" s="23">
        <f t="shared" si="9"/>
        <v>39525</v>
      </c>
      <c r="Y15" s="30">
        <v>130.0</v>
      </c>
      <c r="Z15" s="19">
        <f t="shared" si="10"/>
        <v>6630</v>
      </c>
      <c r="AA15" s="24">
        <f t="shared" si="11"/>
        <v>0.1677419355</v>
      </c>
      <c r="AB15" s="25"/>
    </row>
    <row r="16">
      <c r="A16" s="26">
        <v>9.0</v>
      </c>
      <c r="B16" s="27" t="s">
        <v>27</v>
      </c>
      <c r="C16" s="26" t="s">
        <v>28</v>
      </c>
      <c r="D16" s="26">
        <v>189.25</v>
      </c>
      <c r="E16" s="28">
        <v>560.0</v>
      </c>
      <c r="F16" s="29">
        <f t="shared" si="1"/>
        <v>723.5</v>
      </c>
      <c r="G16" s="23">
        <f t="shared" si="2"/>
        <v>136922.375</v>
      </c>
      <c r="H16" s="30"/>
      <c r="I16" s="31"/>
      <c r="J16" s="31">
        <v>723.5</v>
      </c>
      <c r="K16" s="19">
        <f t="shared" si="3"/>
        <v>136922.375</v>
      </c>
      <c r="L16" s="22">
        <v>60.0</v>
      </c>
      <c r="M16" s="32">
        <f t="shared" si="4"/>
        <v>0.08293020041</v>
      </c>
      <c r="N16" s="76">
        <f t="shared" si="5"/>
        <v>11355</v>
      </c>
      <c r="O16" s="31">
        <f t="shared" si="6"/>
        <v>723.5</v>
      </c>
      <c r="P16" s="22">
        <f t="shared" si="7"/>
        <v>136922.375</v>
      </c>
      <c r="Q16" s="30"/>
      <c r="R16" s="30"/>
      <c r="S16" s="30">
        <v>723.5</v>
      </c>
      <c r="T16" s="18">
        <f t="shared" si="8"/>
        <v>136922.375</v>
      </c>
      <c r="U16" s="30"/>
      <c r="V16" s="30"/>
      <c r="W16" s="29">
        <v>1447.0</v>
      </c>
      <c r="X16" s="23">
        <f t="shared" si="9"/>
        <v>273844.75</v>
      </c>
      <c r="Y16" s="30">
        <v>112.0</v>
      </c>
      <c r="Z16" s="19">
        <f t="shared" si="10"/>
        <v>21196</v>
      </c>
      <c r="AA16" s="24">
        <f t="shared" si="11"/>
        <v>0.07740152039</v>
      </c>
      <c r="AB16" s="25"/>
    </row>
    <row r="17">
      <c r="A17" s="26">
        <v>10.0</v>
      </c>
      <c r="B17" s="27" t="s">
        <v>29</v>
      </c>
      <c r="C17" s="26" t="s">
        <v>30</v>
      </c>
      <c r="D17" s="26">
        <v>128.86</v>
      </c>
      <c r="E17" s="28">
        <v>550.0</v>
      </c>
      <c r="F17" s="29">
        <f t="shared" si="1"/>
        <v>710.5</v>
      </c>
      <c r="G17" s="23">
        <f t="shared" si="2"/>
        <v>91555.03</v>
      </c>
      <c r="H17" s="30"/>
      <c r="I17" s="31"/>
      <c r="J17" s="31">
        <v>710.5</v>
      </c>
      <c r="K17" s="19">
        <f t="shared" si="3"/>
        <v>91555.03</v>
      </c>
      <c r="L17" s="22">
        <v>0.0</v>
      </c>
      <c r="M17" s="32">
        <f t="shared" si="4"/>
        <v>0</v>
      </c>
      <c r="N17" s="76">
        <f t="shared" si="5"/>
        <v>0</v>
      </c>
      <c r="O17" s="31">
        <f t="shared" si="6"/>
        <v>710.5</v>
      </c>
      <c r="P17" s="22">
        <f t="shared" si="7"/>
        <v>91555.03</v>
      </c>
      <c r="Q17" s="30"/>
      <c r="R17" s="30"/>
      <c r="S17" s="30">
        <v>710.5</v>
      </c>
      <c r="T17" s="18">
        <f t="shared" si="8"/>
        <v>91555.03</v>
      </c>
      <c r="U17" s="30"/>
      <c r="V17" s="30"/>
      <c r="W17" s="29">
        <v>1421.0</v>
      </c>
      <c r="X17" s="23">
        <f t="shared" si="9"/>
        <v>183110.06</v>
      </c>
      <c r="Y17" s="30">
        <v>0.0</v>
      </c>
      <c r="Z17" s="19">
        <f t="shared" si="10"/>
        <v>0</v>
      </c>
      <c r="AA17" s="24">
        <f t="shared" si="11"/>
        <v>0</v>
      </c>
      <c r="AB17" s="25"/>
    </row>
    <row r="18">
      <c r="A18" s="26">
        <v>11.0</v>
      </c>
      <c r="B18" s="27" t="s">
        <v>31</v>
      </c>
      <c r="C18" s="26" t="s">
        <v>32</v>
      </c>
      <c r="D18" s="26">
        <v>94.9</v>
      </c>
      <c r="E18" s="28">
        <v>650.0</v>
      </c>
      <c r="F18" s="29">
        <f t="shared" si="1"/>
        <v>839.5</v>
      </c>
      <c r="G18" s="23">
        <f t="shared" si="2"/>
        <v>79668.55</v>
      </c>
      <c r="H18" s="30"/>
      <c r="I18" s="31"/>
      <c r="J18" s="31">
        <v>839.5</v>
      </c>
      <c r="K18" s="19">
        <f t="shared" si="3"/>
        <v>79668.55</v>
      </c>
      <c r="L18" s="22">
        <v>40.0</v>
      </c>
      <c r="M18" s="32">
        <f t="shared" si="4"/>
        <v>0.04764740917</v>
      </c>
      <c r="N18" s="76">
        <f t="shared" si="5"/>
        <v>3796</v>
      </c>
      <c r="O18" s="31">
        <f t="shared" si="6"/>
        <v>839.5</v>
      </c>
      <c r="P18" s="22">
        <f t="shared" si="7"/>
        <v>79668.55</v>
      </c>
      <c r="Q18" s="30"/>
      <c r="R18" s="30"/>
      <c r="S18" s="30">
        <v>839.5</v>
      </c>
      <c r="T18" s="18">
        <f t="shared" si="8"/>
        <v>79668.55</v>
      </c>
      <c r="U18" s="30"/>
      <c r="V18" s="30"/>
      <c r="W18" s="29">
        <v>1679.0</v>
      </c>
      <c r="X18" s="23">
        <f t="shared" si="9"/>
        <v>159337.1</v>
      </c>
      <c r="Y18" s="30">
        <v>84.0</v>
      </c>
      <c r="Z18" s="19">
        <f t="shared" si="10"/>
        <v>7971.6</v>
      </c>
      <c r="AA18" s="24">
        <f t="shared" si="11"/>
        <v>0.05002977963</v>
      </c>
      <c r="AB18" s="25"/>
    </row>
    <row r="19">
      <c r="A19" s="26">
        <v>12.0</v>
      </c>
      <c r="B19" s="27" t="s">
        <v>33</v>
      </c>
      <c r="C19" s="26" t="s">
        <v>34</v>
      </c>
      <c r="D19" s="26">
        <v>85.33</v>
      </c>
      <c r="E19" s="28">
        <v>550.0</v>
      </c>
      <c r="F19" s="29">
        <f t="shared" si="1"/>
        <v>710.5</v>
      </c>
      <c r="G19" s="23">
        <f t="shared" si="2"/>
        <v>60626.965</v>
      </c>
      <c r="H19" s="30"/>
      <c r="I19" s="31"/>
      <c r="J19" s="31">
        <v>710.5</v>
      </c>
      <c r="K19" s="19">
        <f t="shared" si="3"/>
        <v>60626.965</v>
      </c>
      <c r="L19" s="22">
        <v>45.0</v>
      </c>
      <c r="M19" s="32">
        <f t="shared" si="4"/>
        <v>0.0633356791</v>
      </c>
      <c r="N19" s="76">
        <f t="shared" si="5"/>
        <v>3839.85</v>
      </c>
      <c r="O19" s="31">
        <f t="shared" si="6"/>
        <v>710.5</v>
      </c>
      <c r="P19" s="22">
        <f t="shared" si="7"/>
        <v>60626.965</v>
      </c>
      <c r="Q19" s="30"/>
      <c r="R19" s="30"/>
      <c r="S19" s="30">
        <v>710.5</v>
      </c>
      <c r="T19" s="18">
        <f t="shared" si="8"/>
        <v>60626.965</v>
      </c>
      <c r="U19" s="30"/>
      <c r="V19" s="30"/>
      <c r="W19" s="29">
        <v>1421.0</v>
      </c>
      <c r="X19" s="23">
        <f t="shared" si="9"/>
        <v>121253.93</v>
      </c>
      <c r="Y19" s="30">
        <v>100.0</v>
      </c>
      <c r="Z19" s="19">
        <f t="shared" si="10"/>
        <v>8533</v>
      </c>
      <c r="AA19" s="24">
        <f t="shared" si="11"/>
        <v>0.07037297678</v>
      </c>
      <c r="AB19" s="25"/>
    </row>
    <row r="20">
      <c r="A20" s="26">
        <v>13.0</v>
      </c>
      <c r="B20" s="27" t="s">
        <v>35</v>
      </c>
      <c r="C20" s="26" t="s">
        <v>34</v>
      </c>
      <c r="D20" s="26">
        <v>64.65</v>
      </c>
      <c r="E20" s="28">
        <v>200.0</v>
      </c>
      <c r="F20" s="29">
        <f t="shared" si="1"/>
        <v>258.5</v>
      </c>
      <c r="G20" s="23">
        <f t="shared" si="2"/>
        <v>16712.025</v>
      </c>
      <c r="H20" s="30"/>
      <c r="I20" s="31"/>
      <c r="J20" s="31">
        <v>258.5</v>
      </c>
      <c r="K20" s="19">
        <f t="shared" si="3"/>
        <v>16712.025</v>
      </c>
      <c r="L20" s="22">
        <v>0.0</v>
      </c>
      <c r="M20" s="32">
        <f t="shared" si="4"/>
        <v>0</v>
      </c>
      <c r="N20" s="76">
        <f t="shared" si="5"/>
        <v>0</v>
      </c>
      <c r="O20" s="31">
        <f t="shared" si="6"/>
        <v>258.5</v>
      </c>
      <c r="P20" s="22">
        <f t="shared" si="7"/>
        <v>16712.025</v>
      </c>
      <c r="Q20" s="30"/>
      <c r="R20" s="30"/>
      <c r="S20" s="30">
        <v>258.5</v>
      </c>
      <c r="T20" s="18">
        <f t="shared" si="8"/>
        <v>16712.025</v>
      </c>
      <c r="U20" s="30"/>
      <c r="V20" s="30"/>
      <c r="W20" s="29">
        <v>517.0</v>
      </c>
      <c r="X20" s="23">
        <f t="shared" si="9"/>
        <v>33424.05</v>
      </c>
      <c r="Y20" s="30">
        <v>0.0</v>
      </c>
      <c r="Z20" s="19">
        <f t="shared" si="10"/>
        <v>0</v>
      </c>
      <c r="AA20" s="24">
        <f t="shared" si="11"/>
        <v>0</v>
      </c>
      <c r="AB20" s="25"/>
    </row>
    <row r="21" ht="15.75" customHeight="1">
      <c r="A21" s="26">
        <v>14.0</v>
      </c>
      <c r="B21" s="27" t="s">
        <v>36</v>
      </c>
      <c r="C21" s="26" t="s">
        <v>28</v>
      </c>
      <c r="D21" s="26">
        <v>99.39</v>
      </c>
      <c r="E21" s="28">
        <v>150.0</v>
      </c>
      <c r="F21" s="29">
        <f t="shared" si="1"/>
        <v>194</v>
      </c>
      <c r="G21" s="23">
        <f t="shared" si="2"/>
        <v>19281.66</v>
      </c>
      <c r="H21" s="30"/>
      <c r="I21" s="31"/>
      <c r="J21" s="31">
        <v>194.0</v>
      </c>
      <c r="K21" s="19">
        <f t="shared" si="3"/>
        <v>19281.66</v>
      </c>
      <c r="L21" s="22">
        <v>0.0</v>
      </c>
      <c r="M21" s="32">
        <f t="shared" si="4"/>
        <v>0</v>
      </c>
      <c r="N21" s="76">
        <f t="shared" si="5"/>
        <v>0</v>
      </c>
      <c r="O21" s="31">
        <f t="shared" si="6"/>
        <v>194</v>
      </c>
      <c r="P21" s="22">
        <f t="shared" si="7"/>
        <v>19281.66</v>
      </c>
      <c r="Q21" s="30"/>
      <c r="R21" s="30"/>
      <c r="S21" s="30">
        <v>194.0</v>
      </c>
      <c r="T21" s="18">
        <f t="shared" si="8"/>
        <v>19281.66</v>
      </c>
      <c r="U21" s="30"/>
      <c r="V21" s="30"/>
      <c r="W21" s="29">
        <v>388.0</v>
      </c>
      <c r="X21" s="23">
        <f t="shared" si="9"/>
        <v>38563.32</v>
      </c>
      <c r="Y21" s="30">
        <v>0.0</v>
      </c>
      <c r="Z21" s="19">
        <f t="shared" si="10"/>
        <v>0</v>
      </c>
      <c r="AA21" s="24">
        <f t="shared" si="11"/>
        <v>0</v>
      </c>
      <c r="AB21" s="25"/>
    </row>
    <row r="22" ht="15.75" customHeight="1">
      <c r="A22" s="33">
        <v>15.0</v>
      </c>
      <c r="B22" s="34" t="s">
        <v>37</v>
      </c>
      <c r="C22" s="33" t="s">
        <v>21</v>
      </c>
      <c r="D22" s="33">
        <v>89.64</v>
      </c>
      <c r="E22" s="35">
        <v>300.0</v>
      </c>
      <c r="F22" s="36">
        <f t="shared" si="1"/>
        <v>387.5</v>
      </c>
      <c r="G22" s="37">
        <f t="shared" si="2"/>
        <v>34735.5</v>
      </c>
      <c r="H22" s="38"/>
      <c r="I22" s="39"/>
      <c r="J22" s="77">
        <v>387.5</v>
      </c>
      <c r="K22" s="78">
        <f t="shared" si="3"/>
        <v>34735.5</v>
      </c>
      <c r="L22" s="79">
        <v>37.0</v>
      </c>
      <c r="M22" s="80">
        <f t="shared" si="4"/>
        <v>0.09548387097</v>
      </c>
      <c r="N22" s="76">
        <f t="shared" si="5"/>
        <v>3316.68</v>
      </c>
      <c r="O22" s="39">
        <f t="shared" si="6"/>
        <v>387.5</v>
      </c>
      <c r="P22" s="22">
        <f t="shared" si="7"/>
        <v>34735.5</v>
      </c>
      <c r="Q22" s="38"/>
      <c r="R22" s="38"/>
      <c r="S22" s="38">
        <v>387.5</v>
      </c>
      <c r="T22" s="18">
        <f t="shared" si="8"/>
        <v>34735.5</v>
      </c>
      <c r="U22" s="38"/>
      <c r="V22" s="38"/>
      <c r="W22" s="36">
        <v>775.0</v>
      </c>
      <c r="X22" s="23">
        <f t="shared" si="9"/>
        <v>69471</v>
      </c>
      <c r="Y22" s="38">
        <v>85.0</v>
      </c>
      <c r="Z22" s="19">
        <f t="shared" si="10"/>
        <v>7619.4</v>
      </c>
      <c r="AA22" s="24">
        <f t="shared" si="11"/>
        <v>0.1096774194</v>
      </c>
      <c r="AB22" s="25"/>
    </row>
    <row r="23" ht="15.75" customHeight="1">
      <c r="A23" s="41" t="s">
        <v>38</v>
      </c>
      <c r="B23" s="7"/>
      <c r="C23" s="8"/>
      <c r="D23" s="42"/>
      <c r="E23" s="43"/>
      <c r="F23" s="44">
        <f>SUM(F8:F22)</f>
        <v>7121.5</v>
      </c>
      <c r="G23" s="45">
        <f t="shared" si="2"/>
        <v>0</v>
      </c>
      <c r="H23" s="46"/>
      <c r="I23" s="46"/>
      <c r="J23" s="81">
        <f t="shared" ref="J23:L23" si="12">SUM(J8:J22)</f>
        <v>7121.5</v>
      </c>
      <c r="K23" s="81">
        <f t="shared" si="12"/>
        <v>773943.19</v>
      </c>
      <c r="L23" s="82">
        <f t="shared" si="12"/>
        <v>2462</v>
      </c>
      <c r="M23" s="83">
        <f t="shared" si="4"/>
        <v>0.3457136839</v>
      </c>
      <c r="N23" s="76">
        <f t="shared" ref="N23:O23" si="13">SUM(N8:N22)</f>
        <v>272772.98</v>
      </c>
      <c r="O23" s="84">
        <f t="shared" si="13"/>
        <v>7121.5</v>
      </c>
      <c r="P23" s="50">
        <f t="shared" si="7"/>
        <v>0</v>
      </c>
      <c r="Q23" s="46"/>
      <c r="R23" s="46"/>
      <c r="S23" s="47">
        <f t="shared" ref="S23:T23" si="14">SUM(S8:S22)</f>
        <v>7121.5</v>
      </c>
      <c r="T23" s="47">
        <f t="shared" si="14"/>
        <v>773943.19</v>
      </c>
      <c r="U23" s="47"/>
      <c r="V23" s="47"/>
      <c r="W23" s="51">
        <f>SUM(W8:W22)</f>
        <v>14243</v>
      </c>
      <c r="X23" s="52">
        <f t="shared" si="9"/>
        <v>0</v>
      </c>
      <c r="Y23" s="46">
        <f t="shared" ref="Y23:Z23" si="15">Y22+Y21+Y20+Y19+Y18+Y17+Y16+Y15+Y14+Y13+Y12+Y11+Y10+Y9+Y8</f>
        <v>3790</v>
      </c>
      <c r="Z23" s="19">
        <f t="shared" si="15"/>
        <v>420481.05</v>
      </c>
      <c r="AA23" s="24">
        <f t="shared" si="11"/>
        <v>0.2660956259</v>
      </c>
    </row>
    <row r="24" ht="15.75" customHeight="1">
      <c r="A24" s="41" t="s">
        <v>39</v>
      </c>
      <c r="B24" s="7"/>
      <c r="C24" s="8"/>
      <c r="D24" s="53"/>
      <c r="E24" s="54">
        <f>SUM(E8:E23)</f>
        <v>5512</v>
      </c>
      <c r="F24" s="55">
        <f>G24</f>
        <v>773943.19</v>
      </c>
      <c r="G24" s="55">
        <f>SUM(G8:G23)</f>
        <v>773943.19</v>
      </c>
      <c r="H24" s="55"/>
      <c r="I24" s="55"/>
      <c r="J24" s="55">
        <f>K23</f>
        <v>773943.19</v>
      </c>
      <c r="K24" s="55"/>
      <c r="L24" s="54">
        <f>N23</f>
        <v>272772.98</v>
      </c>
      <c r="M24" s="85">
        <f t="shared" si="4"/>
        <v>0.3524457396</v>
      </c>
      <c r="N24" s="76"/>
      <c r="O24" s="86">
        <f>P24</f>
        <v>773943.19</v>
      </c>
      <c r="P24" s="55">
        <f>SUM(P8:P23)</f>
        <v>773943.19</v>
      </c>
      <c r="Q24" s="55"/>
      <c r="R24" s="55"/>
      <c r="S24" s="55">
        <f>T23</f>
        <v>773943.19</v>
      </c>
      <c r="T24" s="55"/>
      <c r="U24" s="55"/>
      <c r="V24" s="55"/>
      <c r="W24" s="55">
        <f>X24</f>
        <v>1547886.38</v>
      </c>
      <c r="X24" s="55">
        <f>SUM(X8:X23)</f>
        <v>1547886.38</v>
      </c>
      <c r="Y24" s="55">
        <f>Z23</f>
        <v>420481.05</v>
      </c>
      <c r="Z24" s="55"/>
      <c r="AA24" s="24">
        <f t="shared" si="11"/>
        <v>0.2716485237</v>
      </c>
      <c r="AB24" s="58"/>
    </row>
    <row r="25" ht="15.75" customHeight="1">
      <c r="B25" s="62"/>
      <c r="C25" s="62"/>
      <c r="D25" s="62"/>
      <c r="E25" s="62"/>
      <c r="F25" s="63"/>
      <c r="G25" s="62"/>
      <c r="H25" s="62"/>
      <c r="I25" s="62"/>
      <c r="J25" s="62"/>
      <c r="K25" s="62"/>
      <c r="L25" s="62"/>
      <c r="M25" s="62"/>
      <c r="N25" s="62"/>
      <c r="O25" s="64"/>
    </row>
    <row r="26" ht="15.75" customHeight="1">
      <c r="B26" s="65"/>
      <c r="D26" s="42"/>
      <c r="E26" s="42"/>
    </row>
    <row r="27" ht="15.75" customHeight="1">
      <c r="D27" s="42"/>
      <c r="E27" s="42"/>
    </row>
    <row r="28" ht="15.75" customHeight="1">
      <c r="D28" s="42"/>
      <c r="E28" s="42"/>
    </row>
    <row r="29" ht="15.75" customHeight="1">
      <c r="D29" s="42"/>
      <c r="E29" s="42"/>
    </row>
    <row r="30" ht="15.75" customHeight="1">
      <c r="D30" s="42"/>
      <c r="E30" s="42"/>
    </row>
    <row r="31" ht="15.75" customHeight="1">
      <c r="D31" s="42"/>
      <c r="E31" s="42"/>
    </row>
    <row r="32" ht="15.75" customHeight="1">
      <c r="D32" s="42"/>
      <c r="E32" s="42"/>
    </row>
    <row r="33" ht="15.75" customHeight="1">
      <c r="D33" s="42"/>
      <c r="E33" s="42"/>
    </row>
    <row r="34" ht="15.75" customHeight="1">
      <c r="D34" s="42"/>
      <c r="E34" s="42"/>
    </row>
    <row r="35" ht="15.75" customHeight="1">
      <c r="D35" s="42"/>
      <c r="E35" s="42"/>
    </row>
    <row r="36" ht="15.75" customHeight="1">
      <c r="D36" s="42"/>
      <c r="E36" s="42"/>
    </row>
    <row r="37" ht="15.75" customHeight="1">
      <c r="D37" s="42"/>
      <c r="E37" s="42"/>
    </row>
    <row r="38" ht="15.75" customHeight="1">
      <c r="D38" s="42"/>
      <c r="E38" s="42"/>
    </row>
    <row r="39" ht="15.75" customHeight="1">
      <c r="D39" s="42"/>
      <c r="E39" s="42"/>
    </row>
    <row r="40" ht="15.75" customHeight="1">
      <c r="D40" s="42"/>
      <c r="E40" s="42"/>
    </row>
    <row r="41" ht="15.75" customHeight="1">
      <c r="D41" s="42"/>
      <c r="E41" s="42"/>
    </row>
    <row r="42" ht="15.75" customHeight="1">
      <c r="D42" s="42"/>
      <c r="E42" s="42"/>
    </row>
    <row r="43" ht="15.75" customHeight="1">
      <c r="D43" s="42"/>
      <c r="E43" s="42"/>
    </row>
    <row r="44" ht="15.75" customHeight="1">
      <c r="D44" s="42"/>
      <c r="E44" s="42"/>
    </row>
    <row r="45" ht="15.75" customHeight="1">
      <c r="D45" s="42"/>
      <c r="E45" s="42"/>
    </row>
    <row r="46" ht="15.75" customHeight="1">
      <c r="D46" s="42"/>
      <c r="E46" s="42"/>
    </row>
    <row r="47" ht="15.75" customHeight="1">
      <c r="D47" s="42"/>
      <c r="E47" s="42"/>
    </row>
    <row r="48" ht="15.75" customHeight="1">
      <c r="D48" s="42"/>
      <c r="E48" s="42"/>
    </row>
    <row r="49" ht="15.75" customHeight="1">
      <c r="D49" s="42"/>
      <c r="E49" s="42"/>
    </row>
    <row r="50" ht="15.75" customHeight="1">
      <c r="D50" s="42"/>
      <c r="E50" s="42"/>
    </row>
    <row r="51" ht="15.75" customHeight="1">
      <c r="D51" s="42"/>
      <c r="E51" s="42"/>
    </row>
    <row r="52" ht="15.75" customHeight="1">
      <c r="D52" s="42"/>
      <c r="E52" s="42"/>
    </row>
    <row r="53" ht="15.75" customHeight="1">
      <c r="D53" s="42"/>
      <c r="E53" s="42"/>
    </row>
    <row r="54" ht="15.75" customHeight="1">
      <c r="D54" s="42"/>
      <c r="E54" s="42"/>
    </row>
    <row r="55" ht="15.75" customHeight="1">
      <c r="D55" s="42"/>
      <c r="E55" s="42"/>
    </row>
    <row r="56" ht="15.75" customHeight="1">
      <c r="D56" s="42"/>
      <c r="E56" s="42"/>
    </row>
    <row r="57" ht="15.75" customHeight="1">
      <c r="D57" s="42"/>
      <c r="E57" s="42"/>
    </row>
    <row r="58" ht="15.75" customHeight="1">
      <c r="D58" s="42"/>
      <c r="E58" s="42"/>
    </row>
    <row r="59" ht="15.75" customHeight="1">
      <c r="D59" s="42"/>
      <c r="E59" s="42"/>
    </row>
    <row r="60" ht="15.75" customHeight="1">
      <c r="D60" s="42"/>
      <c r="E60" s="42"/>
    </row>
    <row r="61" ht="15.75" customHeight="1">
      <c r="D61" s="42"/>
      <c r="E61" s="42"/>
    </row>
    <row r="62" ht="15.75" customHeight="1">
      <c r="D62" s="42"/>
      <c r="E62" s="42"/>
    </row>
    <row r="63" ht="15.75" customHeight="1">
      <c r="D63" s="42"/>
      <c r="E63" s="42"/>
    </row>
    <row r="64" ht="15.75" customHeight="1">
      <c r="D64" s="42"/>
      <c r="E64" s="42"/>
    </row>
    <row r="65" ht="15.75" customHeight="1">
      <c r="D65" s="42"/>
      <c r="E65" s="42"/>
    </row>
    <row r="66" ht="15.75" customHeight="1">
      <c r="D66" s="42"/>
      <c r="E66" s="42"/>
    </row>
    <row r="67" ht="15.75" customHeight="1">
      <c r="D67" s="42"/>
      <c r="E67" s="42"/>
    </row>
    <row r="68" ht="15.75" customHeight="1">
      <c r="D68" s="42"/>
      <c r="E68" s="42"/>
    </row>
    <row r="69" ht="15.75" customHeight="1">
      <c r="D69" s="42"/>
      <c r="E69" s="42"/>
    </row>
    <row r="70" ht="15.75" customHeight="1">
      <c r="D70" s="42"/>
      <c r="E70" s="42"/>
    </row>
    <row r="71" ht="15.75" customHeight="1">
      <c r="D71" s="42"/>
      <c r="E71" s="42"/>
    </row>
    <row r="72" ht="15.75" customHeight="1">
      <c r="D72" s="42"/>
      <c r="E72" s="42"/>
    </row>
    <row r="73" ht="15.75" customHeight="1">
      <c r="D73" s="42"/>
      <c r="E73" s="42"/>
    </row>
    <row r="74" ht="15.75" customHeight="1">
      <c r="D74" s="42"/>
      <c r="E74" s="42"/>
    </row>
    <row r="75" ht="15.75" customHeight="1">
      <c r="D75" s="42"/>
      <c r="E75" s="42"/>
    </row>
    <row r="76" ht="15.75" customHeight="1">
      <c r="D76" s="42"/>
      <c r="E76" s="42"/>
    </row>
    <row r="77" ht="15.75" customHeight="1">
      <c r="D77" s="42"/>
      <c r="E77" s="42"/>
    </row>
    <row r="78" ht="15.75" customHeight="1">
      <c r="D78" s="42"/>
      <c r="E78" s="42"/>
    </row>
    <row r="79" ht="15.75" customHeight="1">
      <c r="D79" s="42"/>
      <c r="E79" s="42"/>
    </row>
    <row r="80" ht="15.75" customHeight="1">
      <c r="D80" s="42"/>
      <c r="E80" s="42"/>
    </row>
    <row r="81" ht="15.75" customHeight="1">
      <c r="D81" s="42"/>
      <c r="E81" s="42"/>
    </row>
    <row r="82" ht="15.75" customHeight="1">
      <c r="D82" s="42"/>
      <c r="E82" s="42"/>
    </row>
    <row r="83" ht="15.75" customHeight="1">
      <c r="D83" s="42"/>
      <c r="E83" s="42"/>
    </row>
    <row r="84" ht="15.75" customHeight="1">
      <c r="D84" s="42"/>
      <c r="E84" s="42"/>
    </row>
    <row r="85" ht="15.75" customHeight="1">
      <c r="D85" s="42"/>
      <c r="E85" s="42"/>
    </row>
    <row r="86" ht="15.75" customHeight="1">
      <c r="D86" s="42"/>
      <c r="E86" s="42"/>
    </row>
    <row r="87" ht="15.75" customHeight="1">
      <c r="D87" s="42"/>
      <c r="E87" s="42"/>
    </row>
    <row r="88" ht="15.75" customHeight="1">
      <c r="D88" s="42"/>
      <c r="E88" s="42"/>
    </row>
    <row r="89" ht="15.75" customHeight="1">
      <c r="D89" s="42"/>
      <c r="E89" s="42"/>
    </row>
    <row r="90" ht="15.75" customHeight="1">
      <c r="D90" s="42"/>
      <c r="E90" s="42"/>
    </row>
    <row r="91" ht="15.75" customHeight="1">
      <c r="D91" s="42"/>
      <c r="E91" s="42"/>
    </row>
    <row r="92" ht="15.75" customHeight="1">
      <c r="D92" s="42"/>
      <c r="E92" s="42"/>
    </row>
    <row r="93" ht="15.75" customHeight="1">
      <c r="D93" s="42"/>
      <c r="E93" s="42"/>
    </row>
    <row r="94" ht="15.75" customHeight="1">
      <c r="D94" s="42"/>
      <c r="E94" s="42"/>
    </row>
    <row r="95" ht="15.75" customHeight="1">
      <c r="D95" s="42"/>
      <c r="E95" s="42"/>
    </row>
    <row r="96" ht="15.75" customHeight="1">
      <c r="D96" s="42"/>
      <c r="E96" s="42"/>
    </row>
    <row r="97" ht="15.75" customHeight="1">
      <c r="D97" s="42"/>
      <c r="E97" s="42"/>
    </row>
    <row r="98" ht="15.75" customHeight="1">
      <c r="D98" s="42"/>
      <c r="E98" s="42"/>
    </row>
    <row r="99" ht="15.75" customHeight="1">
      <c r="D99" s="42"/>
      <c r="E99" s="42"/>
    </row>
    <row r="100" ht="15.75" customHeight="1">
      <c r="D100" s="42"/>
      <c r="E100" s="42"/>
    </row>
    <row r="101" ht="15.75" customHeight="1">
      <c r="D101" s="42"/>
      <c r="E101" s="42"/>
    </row>
    <row r="102" ht="15.75" customHeight="1">
      <c r="D102" s="42"/>
      <c r="E102" s="42"/>
    </row>
    <row r="103" ht="15.75" customHeight="1">
      <c r="D103" s="42"/>
      <c r="E103" s="42"/>
    </row>
    <row r="104" ht="15.75" customHeight="1">
      <c r="D104" s="42"/>
      <c r="E104" s="42"/>
    </row>
    <row r="105" ht="15.75" customHeight="1">
      <c r="D105" s="42"/>
      <c r="E105" s="42"/>
    </row>
    <row r="106" ht="15.75" customHeight="1">
      <c r="D106" s="42"/>
      <c r="E106" s="42"/>
    </row>
    <row r="107" ht="15.75" customHeight="1">
      <c r="D107" s="42"/>
      <c r="E107" s="42"/>
    </row>
    <row r="108" ht="15.75" customHeight="1">
      <c r="D108" s="42"/>
      <c r="E108" s="42"/>
    </row>
    <row r="109" ht="15.75" customHeight="1">
      <c r="D109" s="42"/>
      <c r="E109" s="42"/>
    </row>
    <row r="110" ht="15.75" customHeight="1">
      <c r="D110" s="42"/>
      <c r="E110" s="42"/>
    </row>
    <row r="111" ht="15.75" customHeight="1">
      <c r="D111" s="42"/>
      <c r="E111" s="42"/>
    </row>
    <row r="112" ht="15.75" customHeight="1">
      <c r="D112" s="42"/>
      <c r="E112" s="42"/>
    </row>
    <row r="113" ht="15.75" customHeight="1">
      <c r="D113" s="42"/>
      <c r="E113" s="42"/>
    </row>
    <row r="114" ht="15.75" customHeight="1">
      <c r="D114" s="42"/>
      <c r="E114" s="42"/>
    </row>
    <row r="115" ht="15.75" customHeight="1">
      <c r="D115" s="42"/>
      <c r="E115" s="42"/>
    </row>
    <row r="116" ht="15.75" customHeight="1">
      <c r="D116" s="42"/>
      <c r="E116" s="42"/>
    </row>
    <row r="117" ht="15.75" customHeight="1">
      <c r="D117" s="42"/>
      <c r="E117" s="42"/>
    </row>
    <row r="118" ht="15.75" customHeight="1">
      <c r="D118" s="42"/>
      <c r="E118" s="42"/>
    </row>
    <row r="119" ht="15.75" customHeight="1">
      <c r="D119" s="42"/>
      <c r="E119" s="42"/>
    </row>
    <row r="120" ht="15.75" customHeight="1">
      <c r="D120" s="42"/>
      <c r="E120" s="42"/>
    </row>
    <row r="121" ht="15.75" customHeight="1">
      <c r="D121" s="42"/>
      <c r="E121" s="42"/>
    </row>
    <row r="122" ht="15.75" customHeight="1">
      <c r="D122" s="42"/>
      <c r="E122" s="42"/>
    </row>
    <row r="123" ht="15.75" customHeight="1">
      <c r="D123" s="42"/>
      <c r="E123" s="42"/>
    </row>
    <row r="124" ht="15.75" customHeight="1">
      <c r="D124" s="42"/>
      <c r="E124" s="42"/>
    </row>
    <row r="125" ht="15.75" customHeight="1">
      <c r="D125" s="42"/>
      <c r="E125" s="42"/>
    </row>
    <row r="126" ht="15.75" customHeight="1">
      <c r="D126" s="42"/>
      <c r="E126" s="42"/>
    </row>
    <row r="127" ht="15.75" customHeight="1">
      <c r="D127" s="42"/>
      <c r="E127" s="42"/>
    </row>
    <row r="128" ht="15.75" customHeight="1">
      <c r="D128" s="42"/>
      <c r="E128" s="42"/>
    </row>
    <row r="129" ht="15.75" customHeight="1">
      <c r="D129" s="42"/>
      <c r="E129" s="42"/>
    </row>
    <row r="130" ht="15.75" customHeight="1">
      <c r="D130" s="42"/>
      <c r="E130" s="42"/>
    </row>
    <row r="131" ht="15.75" customHeight="1">
      <c r="D131" s="42"/>
      <c r="E131" s="42"/>
    </row>
    <row r="132" ht="15.75" customHeight="1">
      <c r="D132" s="42"/>
      <c r="E132" s="42"/>
    </row>
    <row r="133" ht="15.75" customHeight="1">
      <c r="D133" s="42"/>
      <c r="E133" s="42"/>
    </row>
    <row r="134" ht="15.75" customHeight="1">
      <c r="D134" s="42"/>
      <c r="E134" s="42"/>
    </row>
    <row r="135" ht="15.75" customHeight="1">
      <c r="D135" s="42"/>
      <c r="E135" s="42"/>
    </row>
    <row r="136" ht="15.75" customHeight="1">
      <c r="D136" s="42"/>
      <c r="E136" s="42"/>
    </row>
    <row r="137" ht="15.75" customHeight="1">
      <c r="D137" s="42"/>
      <c r="E137" s="42"/>
    </row>
    <row r="138" ht="15.75" customHeight="1">
      <c r="D138" s="42"/>
      <c r="E138" s="42"/>
    </row>
    <row r="139" ht="15.75" customHeight="1">
      <c r="D139" s="42"/>
      <c r="E139" s="42"/>
    </row>
    <row r="140" ht="15.75" customHeight="1">
      <c r="D140" s="42"/>
      <c r="E140" s="42"/>
    </row>
    <row r="141" ht="15.75" customHeight="1">
      <c r="D141" s="42"/>
      <c r="E141" s="42"/>
    </row>
    <row r="142" ht="15.75" customHeight="1">
      <c r="D142" s="42"/>
      <c r="E142" s="42"/>
    </row>
    <row r="143" ht="15.75" customHeight="1">
      <c r="D143" s="42"/>
      <c r="E143" s="42"/>
    </row>
    <row r="144" ht="15.75" customHeight="1">
      <c r="D144" s="42"/>
      <c r="E144" s="42"/>
    </row>
    <row r="145" ht="15.75" customHeight="1">
      <c r="D145" s="42"/>
      <c r="E145" s="42"/>
    </row>
    <row r="146" ht="15.75" customHeight="1">
      <c r="D146" s="42"/>
      <c r="E146" s="42"/>
    </row>
    <row r="147" ht="15.75" customHeight="1">
      <c r="D147" s="42"/>
      <c r="E147" s="42"/>
    </row>
    <row r="148" ht="15.75" customHeight="1">
      <c r="D148" s="42"/>
      <c r="E148" s="42"/>
    </row>
    <row r="149" ht="15.75" customHeight="1">
      <c r="D149" s="42"/>
      <c r="E149" s="42"/>
    </row>
    <row r="150" ht="15.75" customHeight="1">
      <c r="D150" s="42"/>
      <c r="E150" s="42"/>
    </row>
    <row r="151" ht="15.75" customHeight="1">
      <c r="D151" s="42"/>
      <c r="E151" s="42"/>
    </row>
    <row r="152" ht="15.75" customHeight="1">
      <c r="D152" s="42"/>
      <c r="E152" s="42"/>
    </row>
    <row r="153" ht="15.75" customHeight="1">
      <c r="D153" s="42"/>
      <c r="E153" s="42"/>
    </row>
    <row r="154" ht="15.75" customHeight="1">
      <c r="D154" s="42"/>
      <c r="E154" s="42"/>
    </row>
    <row r="155" ht="15.75" customHeight="1">
      <c r="D155" s="42"/>
      <c r="E155" s="42"/>
    </row>
    <row r="156" ht="15.75" customHeight="1">
      <c r="D156" s="42"/>
      <c r="E156" s="42"/>
    </row>
    <row r="157" ht="15.75" customHeight="1">
      <c r="D157" s="42"/>
      <c r="E157" s="42"/>
    </row>
    <row r="158" ht="15.75" customHeight="1">
      <c r="D158" s="42"/>
      <c r="E158" s="42"/>
    </row>
    <row r="159" ht="15.75" customHeight="1">
      <c r="D159" s="42"/>
      <c r="E159" s="42"/>
    </row>
    <row r="160" ht="15.75" customHeight="1">
      <c r="D160" s="42"/>
      <c r="E160" s="42"/>
    </row>
    <row r="161" ht="15.75" customHeight="1">
      <c r="D161" s="42"/>
      <c r="E161" s="42"/>
    </row>
    <row r="162" ht="15.75" customHeight="1">
      <c r="D162" s="42"/>
      <c r="E162" s="42"/>
    </row>
    <row r="163" ht="15.75" customHeight="1">
      <c r="D163" s="42"/>
      <c r="E163" s="42"/>
    </row>
    <row r="164" ht="15.75" customHeight="1">
      <c r="D164" s="42"/>
      <c r="E164" s="42"/>
    </row>
    <row r="165" ht="15.75" customHeight="1">
      <c r="D165" s="42"/>
      <c r="E165" s="42"/>
    </row>
    <row r="166" ht="15.75" customHeight="1">
      <c r="D166" s="42"/>
      <c r="E166" s="42"/>
    </row>
    <row r="167" ht="15.75" customHeight="1">
      <c r="D167" s="42"/>
      <c r="E167" s="42"/>
    </row>
    <row r="168" ht="15.75" customHeight="1">
      <c r="D168" s="42"/>
      <c r="E168" s="42"/>
    </row>
    <row r="169" ht="15.75" customHeight="1">
      <c r="D169" s="42"/>
      <c r="E169" s="42"/>
    </row>
    <row r="170" ht="15.75" customHeight="1">
      <c r="D170" s="42"/>
      <c r="E170" s="42"/>
    </row>
    <row r="171" ht="15.75" customHeight="1">
      <c r="D171" s="42"/>
      <c r="E171" s="42"/>
    </row>
    <row r="172" ht="15.75" customHeight="1">
      <c r="D172" s="42"/>
      <c r="E172" s="42"/>
    </row>
    <row r="173" ht="15.75" customHeight="1">
      <c r="D173" s="42"/>
      <c r="E173" s="42"/>
    </row>
    <row r="174" ht="15.75" customHeight="1">
      <c r="D174" s="42"/>
      <c r="E174" s="42"/>
    </row>
    <row r="175" ht="15.75" customHeight="1">
      <c r="D175" s="42"/>
      <c r="E175" s="42"/>
    </row>
    <row r="176" ht="15.75" customHeight="1">
      <c r="D176" s="42"/>
      <c r="E176" s="42"/>
    </row>
    <row r="177" ht="15.75" customHeight="1">
      <c r="D177" s="42"/>
      <c r="E177" s="42"/>
    </row>
    <row r="178" ht="15.75" customHeight="1">
      <c r="D178" s="42"/>
      <c r="E178" s="42"/>
    </row>
    <row r="179" ht="15.75" customHeight="1">
      <c r="D179" s="42"/>
      <c r="E179" s="42"/>
    </row>
    <row r="180" ht="15.75" customHeight="1">
      <c r="D180" s="42"/>
      <c r="E180" s="42"/>
    </row>
    <row r="181" ht="15.75" customHeight="1">
      <c r="D181" s="42"/>
      <c r="E181" s="42"/>
    </row>
    <row r="182" ht="15.75" customHeight="1">
      <c r="D182" s="42"/>
      <c r="E182" s="42"/>
    </row>
    <row r="183" ht="15.75" customHeight="1">
      <c r="D183" s="42"/>
      <c r="E183" s="42"/>
    </row>
    <row r="184" ht="15.75" customHeight="1">
      <c r="D184" s="42"/>
      <c r="E184" s="42"/>
    </row>
    <row r="185" ht="15.75" customHeight="1">
      <c r="D185" s="42"/>
      <c r="E185" s="42"/>
    </row>
    <row r="186" ht="15.75" customHeight="1">
      <c r="D186" s="42"/>
      <c r="E186" s="42"/>
    </row>
    <row r="187" ht="15.75" customHeight="1">
      <c r="D187" s="42"/>
      <c r="E187" s="42"/>
    </row>
    <row r="188" ht="15.75" customHeight="1">
      <c r="D188" s="42"/>
      <c r="E188" s="42"/>
    </row>
    <row r="189" ht="15.75" customHeight="1">
      <c r="D189" s="42"/>
      <c r="E189" s="42"/>
    </row>
    <row r="190" ht="15.75" customHeight="1">
      <c r="D190" s="42"/>
      <c r="E190" s="42"/>
    </row>
    <row r="191" ht="15.75" customHeight="1">
      <c r="D191" s="42"/>
      <c r="E191" s="42"/>
    </row>
    <row r="192" ht="15.75" customHeight="1">
      <c r="D192" s="42"/>
      <c r="E192" s="42"/>
    </row>
    <row r="193" ht="15.75" customHeight="1">
      <c r="D193" s="42"/>
      <c r="E193" s="42"/>
    </row>
    <row r="194" ht="15.75" customHeight="1">
      <c r="D194" s="42"/>
      <c r="E194" s="42"/>
    </row>
    <row r="195" ht="15.75" customHeight="1">
      <c r="D195" s="42"/>
      <c r="E195" s="42"/>
    </row>
    <row r="196" ht="15.75" customHeight="1">
      <c r="D196" s="42"/>
      <c r="E196" s="42"/>
    </row>
    <row r="197" ht="15.75" customHeight="1">
      <c r="D197" s="42"/>
      <c r="E197" s="42"/>
    </row>
    <row r="198" ht="15.75" customHeight="1">
      <c r="D198" s="42"/>
      <c r="E198" s="42"/>
    </row>
    <row r="199" ht="15.75" customHeight="1">
      <c r="D199" s="42"/>
      <c r="E199" s="42"/>
    </row>
    <row r="200" ht="15.75" customHeight="1">
      <c r="D200" s="42"/>
      <c r="E200" s="42"/>
    </row>
    <row r="201" ht="15.75" customHeight="1">
      <c r="D201" s="42"/>
      <c r="E201" s="42"/>
    </row>
    <row r="202" ht="15.75" customHeight="1">
      <c r="D202" s="42"/>
      <c r="E202" s="42"/>
    </row>
    <row r="203" ht="15.75" customHeight="1">
      <c r="D203" s="42"/>
      <c r="E203" s="42"/>
    </row>
    <row r="204" ht="15.75" customHeight="1">
      <c r="D204" s="42"/>
      <c r="E204" s="42"/>
    </row>
    <row r="205" ht="15.75" customHeight="1">
      <c r="D205" s="42"/>
      <c r="E205" s="42"/>
    </row>
    <row r="206" ht="15.75" customHeight="1">
      <c r="D206" s="42"/>
      <c r="E206" s="42"/>
    </row>
    <row r="207" ht="15.75" customHeight="1">
      <c r="D207" s="42"/>
      <c r="E207" s="42"/>
    </row>
    <row r="208" ht="15.75" customHeight="1">
      <c r="D208" s="42"/>
      <c r="E208" s="42"/>
    </row>
    <row r="209" ht="15.75" customHeight="1">
      <c r="D209" s="42"/>
      <c r="E209" s="42"/>
    </row>
    <row r="210" ht="15.75" customHeight="1">
      <c r="D210" s="42"/>
      <c r="E210" s="42"/>
    </row>
    <row r="211" ht="15.75" customHeight="1">
      <c r="D211" s="42"/>
      <c r="E211" s="42"/>
    </row>
    <row r="212" ht="15.75" customHeight="1">
      <c r="D212" s="42"/>
      <c r="E212" s="42"/>
    </row>
    <row r="213" ht="15.75" customHeight="1">
      <c r="D213" s="42"/>
      <c r="E213" s="42"/>
    </row>
    <row r="214" ht="15.75" customHeight="1">
      <c r="D214" s="42"/>
      <c r="E214" s="42"/>
    </row>
    <row r="215" ht="15.75" customHeight="1">
      <c r="D215" s="42"/>
      <c r="E215" s="42"/>
    </row>
    <row r="216" ht="15.75" customHeight="1">
      <c r="D216" s="42"/>
      <c r="E216" s="42"/>
    </row>
    <row r="217" ht="15.75" customHeight="1">
      <c r="D217" s="42"/>
      <c r="E217" s="42"/>
    </row>
    <row r="218" ht="15.75" customHeight="1">
      <c r="D218" s="42"/>
      <c r="E218" s="42"/>
    </row>
    <row r="219" ht="15.75" customHeight="1">
      <c r="D219" s="42"/>
      <c r="E219" s="42"/>
    </row>
    <row r="220" ht="15.75" customHeight="1">
      <c r="D220" s="42"/>
      <c r="E220" s="42"/>
    </row>
    <row r="221" ht="15.75" customHeight="1">
      <c r="D221" s="42"/>
      <c r="E221" s="42"/>
    </row>
    <row r="222" ht="15.75" customHeight="1">
      <c r="D222" s="42"/>
      <c r="E222" s="42"/>
    </row>
    <row r="223" ht="15.75" customHeight="1">
      <c r="D223" s="42"/>
      <c r="E223" s="42"/>
    </row>
    <row r="224" ht="15.75" customHeight="1">
      <c r="D224" s="42"/>
      <c r="E224" s="42"/>
    </row>
    <row r="225" ht="15.75" customHeight="1">
      <c r="D225" s="42"/>
      <c r="E225" s="42"/>
    </row>
    <row r="226" ht="15.75" customHeight="1">
      <c r="D226" s="42"/>
      <c r="E226" s="42"/>
    </row>
    <row r="227" ht="15.75" customHeight="1">
      <c r="D227" s="42"/>
      <c r="E227" s="42"/>
    </row>
    <row r="228" ht="15.75" customHeight="1">
      <c r="D228" s="42"/>
      <c r="E228" s="42"/>
    </row>
    <row r="229" ht="15.75" customHeight="1">
      <c r="D229" s="42"/>
      <c r="E229" s="42"/>
    </row>
    <row r="230" ht="15.75" customHeight="1">
      <c r="D230" s="42"/>
      <c r="E230" s="42"/>
    </row>
    <row r="231" ht="15.75" customHeight="1">
      <c r="D231" s="42"/>
      <c r="E231" s="42"/>
    </row>
    <row r="232" ht="15.75" customHeight="1">
      <c r="D232" s="42"/>
      <c r="E232" s="42"/>
    </row>
    <row r="233" ht="15.75" customHeight="1">
      <c r="D233" s="42"/>
      <c r="E233" s="42"/>
    </row>
    <row r="234" ht="15.75" customHeight="1">
      <c r="D234" s="42"/>
      <c r="E234" s="42"/>
    </row>
    <row r="235" ht="15.75" customHeight="1">
      <c r="D235" s="42"/>
      <c r="E235" s="42"/>
    </row>
    <row r="236" ht="15.75" customHeight="1">
      <c r="D236" s="42"/>
      <c r="E236" s="42"/>
    </row>
    <row r="237" ht="15.75" customHeight="1">
      <c r="D237" s="42"/>
      <c r="E237" s="42"/>
    </row>
    <row r="238" ht="15.75" customHeight="1">
      <c r="D238" s="42"/>
      <c r="E238" s="42"/>
    </row>
    <row r="239" ht="15.75" customHeight="1">
      <c r="D239" s="42"/>
      <c r="E239" s="42"/>
    </row>
    <row r="240" ht="15.75" customHeight="1">
      <c r="D240" s="42"/>
      <c r="E240" s="42"/>
    </row>
    <row r="241" ht="15.75" customHeight="1">
      <c r="D241" s="42"/>
      <c r="E241" s="42"/>
    </row>
    <row r="242" ht="15.75" customHeight="1">
      <c r="D242" s="42"/>
      <c r="E242" s="42"/>
    </row>
    <row r="243" ht="15.75" customHeight="1">
      <c r="D243" s="42"/>
      <c r="E243" s="42"/>
    </row>
    <row r="244" ht="15.75" customHeight="1">
      <c r="D244" s="42"/>
      <c r="E244" s="42"/>
    </row>
    <row r="245" ht="15.75" customHeight="1">
      <c r="D245" s="42"/>
      <c r="E245" s="42"/>
    </row>
    <row r="246" ht="15.75" customHeight="1">
      <c r="D246" s="42"/>
      <c r="E246" s="42"/>
    </row>
    <row r="247" ht="15.75" customHeight="1">
      <c r="D247" s="42"/>
      <c r="E247" s="42"/>
    </row>
    <row r="248" ht="15.75" customHeight="1">
      <c r="D248" s="42"/>
      <c r="E248" s="42"/>
    </row>
    <row r="249" ht="15.75" customHeight="1">
      <c r="D249" s="42"/>
      <c r="E249" s="42"/>
    </row>
    <row r="250" ht="15.75" customHeight="1">
      <c r="D250" s="42"/>
      <c r="E250" s="42"/>
    </row>
    <row r="251" ht="15.75" customHeight="1">
      <c r="D251" s="42"/>
      <c r="E251" s="42"/>
    </row>
    <row r="252" ht="15.75" customHeight="1">
      <c r="D252" s="42"/>
      <c r="E252" s="42"/>
    </row>
    <row r="253" ht="15.75" customHeight="1">
      <c r="D253" s="42"/>
      <c r="E253" s="42"/>
    </row>
    <row r="254" ht="15.75" customHeight="1">
      <c r="D254" s="42"/>
      <c r="E254" s="42"/>
    </row>
    <row r="255" ht="15.75" customHeight="1">
      <c r="D255" s="42"/>
      <c r="E255" s="42"/>
    </row>
    <row r="256" ht="15.75" customHeight="1">
      <c r="D256" s="42"/>
      <c r="E256" s="42"/>
    </row>
    <row r="257" ht="15.75" customHeight="1">
      <c r="D257" s="42"/>
      <c r="E257" s="42"/>
    </row>
    <row r="258" ht="15.75" customHeight="1">
      <c r="D258" s="42"/>
      <c r="E258" s="42"/>
    </row>
    <row r="259" ht="15.75" customHeight="1">
      <c r="D259" s="42"/>
      <c r="E259" s="42"/>
    </row>
    <row r="260" ht="15.75" customHeight="1">
      <c r="D260" s="42"/>
      <c r="E260" s="42"/>
    </row>
    <row r="261" ht="15.75" customHeight="1">
      <c r="D261" s="42"/>
      <c r="E261" s="42"/>
    </row>
    <row r="262" ht="15.75" customHeight="1">
      <c r="D262" s="42"/>
      <c r="E262" s="42"/>
    </row>
    <row r="263" ht="15.75" customHeight="1">
      <c r="D263" s="42"/>
      <c r="E263" s="42"/>
    </row>
    <row r="264" ht="15.75" customHeight="1">
      <c r="D264" s="42"/>
      <c r="E264" s="42"/>
    </row>
    <row r="265" ht="15.75" customHeight="1">
      <c r="D265" s="42"/>
      <c r="E265" s="42"/>
    </row>
    <row r="266" ht="15.75" customHeight="1">
      <c r="D266" s="42"/>
      <c r="E266" s="42"/>
    </row>
    <row r="267" ht="15.75" customHeight="1">
      <c r="D267" s="42"/>
      <c r="E267" s="42"/>
    </row>
    <row r="268" ht="15.75" customHeight="1">
      <c r="D268" s="42"/>
      <c r="E268" s="42"/>
    </row>
    <row r="269" ht="15.75" customHeight="1">
      <c r="D269" s="42"/>
      <c r="E269" s="42"/>
    </row>
    <row r="270" ht="15.75" customHeight="1">
      <c r="D270" s="42"/>
      <c r="E270" s="42"/>
    </row>
    <row r="271" ht="15.75" customHeight="1">
      <c r="D271" s="42"/>
      <c r="E271" s="42"/>
    </row>
    <row r="272" ht="15.75" customHeight="1">
      <c r="D272" s="42"/>
      <c r="E272" s="42"/>
    </row>
    <row r="273" ht="15.75" customHeight="1">
      <c r="D273" s="42"/>
      <c r="E273" s="42"/>
    </row>
    <row r="274" ht="15.75" customHeight="1">
      <c r="D274" s="42"/>
      <c r="E274" s="42"/>
    </row>
    <row r="275" ht="15.75" customHeight="1">
      <c r="D275" s="42"/>
      <c r="E275" s="42"/>
    </row>
    <row r="276" ht="15.75" customHeight="1">
      <c r="D276" s="42"/>
      <c r="E276" s="42"/>
    </row>
    <row r="277" ht="15.75" customHeight="1">
      <c r="D277" s="42"/>
      <c r="E277" s="42"/>
    </row>
    <row r="278" ht="15.75" customHeight="1">
      <c r="D278" s="42"/>
      <c r="E278" s="42"/>
    </row>
    <row r="279" ht="15.75" customHeight="1">
      <c r="D279" s="42"/>
      <c r="E279" s="42"/>
    </row>
    <row r="280" ht="15.75" customHeight="1">
      <c r="D280" s="42"/>
      <c r="E280" s="42"/>
    </row>
    <row r="281" ht="15.75" customHeight="1">
      <c r="D281" s="42"/>
      <c r="E281" s="42"/>
    </row>
    <row r="282" ht="15.75" customHeight="1">
      <c r="D282" s="42"/>
      <c r="E282" s="42"/>
    </row>
    <row r="283" ht="15.75" customHeight="1">
      <c r="D283" s="42"/>
      <c r="E283" s="42"/>
    </row>
    <row r="284" ht="15.75" customHeight="1">
      <c r="D284" s="42"/>
      <c r="E284" s="42"/>
    </row>
    <row r="285" ht="15.75" customHeight="1">
      <c r="D285" s="42"/>
      <c r="E285" s="42"/>
    </row>
    <row r="286" ht="15.75" customHeight="1">
      <c r="D286" s="42"/>
      <c r="E286" s="42"/>
    </row>
    <row r="287" ht="15.75" customHeight="1">
      <c r="D287" s="42"/>
      <c r="E287" s="42"/>
    </row>
    <row r="288" ht="15.75" customHeight="1">
      <c r="D288" s="42"/>
      <c r="E288" s="42"/>
    </row>
    <row r="289" ht="15.75" customHeight="1">
      <c r="D289" s="42"/>
      <c r="E289" s="42"/>
    </row>
    <row r="290" ht="15.75" customHeight="1">
      <c r="D290" s="42"/>
      <c r="E290" s="42"/>
    </row>
    <row r="291" ht="15.75" customHeight="1">
      <c r="D291" s="42"/>
      <c r="E291" s="42"/>
    </row>
    <row r="292" ht="15.75" customHeight="1">
      <c r="D292" s="42"/>
      <c r="E292" s="42"/>
    </row>
    <row r="293" ht="15.75" customHeight="1">
      <c r="D293" s="42"/>
      <c r="E293" s="42"/>
    </row>
    <row r="294" ht="15.75" customHeight="1">
      <c r="D294" s="42"/>
      <c r="E294" s="42"/>
    </row>
    <row r="295" ht="15.75" customHeight="1">
      <c r="D295" s="42"/>
      <c r="E295" s="42"/>
    </row>
    <row r="296" ht="15.75" customHeight="1">
      <c r="D296" s="42"/>
      <c r="E296" s="42"/>
    </row>
    <row r="297" ht="15.75" customHeight="1">
      <c r="D297" s="42"/>
      <c r="E297" s="42"/>
    </row>
    <row r="298" ht="15.75" customHeight="1">
      <c r="D298" s="42"/>
      <c r="E298" s="42"/>
    </row>
    <row r="299" ht="15.75" customHeight="1">
      <c r="D299" s="42"/>
      <c r="E299" s="42"/>
    </row>
    <row r="300" ht="15.75" customHeight="1">
      <c r="D300" s="42"/>
      <c r="E300" s="42"/>
    </row>
    <row r="301" ht="15.75" customHeight="1">
      <c r="D301" s="42"/>
      <c r="E301" s="42"/>
    </row>
    <row r="302" ht="15.75" customHeight="1">
      <c r="D302" s="42"/>
      <c r="E302" s="42"/>
    </row>
    <row r="303" ht="15.75" customHeight="1">
      <c r="D303" s="42"/>
      <c r="E303" s="42"/>
    </row>
    <row r="304" ht="15.75" customHeight="1">
      <c r="D304" s="42"/>
      <c r="E304" s="42"/>
    </row>
    <row r="305" ht="15.75" customHeight="1">
      <c r="D305" s="42"/>
      <c r="E305" s="42"/>
    </row>
    <row r="306" ht="15.75" customHeight="1">
      <c r="D306" s="42"/>
      <c r="E306" s="42"/>
    </row>
    <row r="307" ht="15.75" customHeight="1">
      <c r="D307" s="42"/>
      <c r="E307" s="42"/>
    </row>
    <row r="308" ht="15.75" customHeight="1">
      <c r="D308" s="42"/>
      <c r="E308" s="42"/>
    </row>
    <row r="309" ht="15.75" customHeight="1">
      <c r="D309" s="42"/>
      <c r="E309" s="42"/>
    </row>
    <row r="310" ht="15.75" customHeight="1">
      <c r="D310" s="42"/>
      <c r="E310" s="42"/>
    </row>
    <row r="311" ht="15.75" customHeight="1">
      <c r="D311" s="42"/>
      <c r="E311" s="42"/>
    </row>
    <row r="312" ht="15.75" customHeight="1">
      <c r="D312" s="42"/>
      <c r="E312" s="42"/>
    </row>
    <row r="313" ht="15.75" customHeight="1">
      <c r="D313" s="42"/>
      <c r="E313" s="42"/>
    </row>
    <row r="314" ht="15.75" customHeight="1">
      <c r="D314" s="42"/>
      <c r="E314" s="42"/>
    </row>
    <row r="315" ht="15.75" customHeight="1">
      <c r="D315" s="42"/>
      <c r="E315" s="42"/>
    </row>
    <row r="316" ht="15.75" customHeight="1">
      <c r="D316" s="42"/>
      <c r="E316" s="42"/>
    </row>
    <row r="317" ht="15.75" customHeight="1">
      <c r="D317" s="42"/>
      <c r="E317" s="42"/>
    </row>
    <row r="318" ht="15.75" customHeight="1">
      <c r="D318" s="42"/>
      <c r="E318" s="42"/>
    </row>
    <row r="319" ht="15.75" customHeight="1">
      <c r="D319" s="42"/>
      <c r="E319" s="42"/>
    </row>
    <row r="320" ht="15.75" customHeight="1">
      <c r="D320" s="42"/>
      <c r="E320" s="42"/>
    </row>
    <row r="321" ht="15.75" customHeight="1">
      <c r="D321" s="42"/>
      <c r="E321" s="42"/>
    </row>
    <row r="322" ht="15.75" customHeight="1">
      <c r="D322" s="42"/>
      <c r="E322" s="42"/>
    </row>
    <row r="323" ht="15.75" customHeight="1">
      <c r="D323" s="42"/>
      <c r="E323" s="42"/>
    </row>
    <row r="324" ht="15.75" customHeight="1">
      <c r="D324" s="42"/>
      <c r="E324" s="42"/>
    </row>
    <row r="325" ht="15.75" customHeight="1">
      <c r="D325" s="42"/>
      <c r="E325" s="42"/>
    </row>
    <row r="326" ht="15.75" customHeight="1">
      <c r="D326" s="42"/>
      <c r="E326" s="42"/>
    </row>
    <row r="327" ht="15.75" customHeight="1">
      <c r="D327" s="42"/>
      <c r="E327" s="42"/>
    </row>
    <row r="328" ht="15.75" customHeight="1">
      <c r="D328" s="42"/>
      <c r="E328" s="42"/>
    </row>
    <row r="329" ht="15.75" customHeight="1">
      <c r="D329" s="42"/>
      <c r="E329" s="42"/>
    </row>
    <row r="330" ht="15.75" customHeight="1">
      <c r="D330" s="42"/>
      <c r="E330" s="42"/>
    </row>
    <row r="331" ht="15.75" customHeight="1">
      <c r="D331" s="42"/>
      <c r="E331" s="42"/>
    </row>
    <row r="332" ht="15.75" customHeight="1">
      <c r="D332" s="42"/>
      <c r="E332" s="42"/>
    </row>
    <row r="333" ht="15.75" customHeight="1">
      <c r="D333" s="42"/>
      <c r="E333" s="42"/>
    </row>
    <row r="334" ht="15.75" customHeight="1">
      <c r="D334" s="42"/>
      <c r="E334" s="42"/>
    </row>
    <row r="335" ht="15.75" customHeight="1">
      <c r="D335" s="42"/>
      <c r="E335" s="42"/>
    </row>
    <row r="336" ht="15.75" customHeight="1">
      <c r="D336" s="42"/>
      <c r="E336" s="42"/>
    </row>
    <row r="337" ht="15.75" customHeight="1">
      <c r="D337" s="42"/>
      <c r="E337" s="42"/>
    </row>
    <row r="338" ht="15.75" customHeight="1">
      <c r="D338" s="42"/>
      <c r="E338" s="42"/>
    </row>
    <row r="339" ht="15.75" customHeight="1">
      <c r="D339" s="42"/>
      <c r="E339" s="42"/>
    </row>
    <row r="340" ht="15.75" customHeight="1">
      <c r="D340" s="42"/>
      <c r="E340" s="42"/>
    </row>
    <row r="341" ht="15.75" customHeight="1">
      <c r="D341" s="42"/>
      <c r="E341" s="42"/>
    </row>
    <row r="342" ht="15.75" customHeight="1">
      <c r="D342" s="42"/>
      <c r="E342" s="42"/>
    </row>
    <row r="343" ht="15.75" customHeight="1">
      <c r="D343" s="42"/>
      <c r="E343" s="42"/>
    </row>
    <row r="344" ht="15.75" customHeight="1">
      <c r="D344" s="42"/>
      <c r="E344" s="42"/>
    </row>
    <row r="345" ht="15.75" customHeight="1">
      <c r="D345" s="42"/>
      <c r="E345" s="42"/>
    </row>
    <row r="346" ht="15.75" customHeight="1">
      <c r="D346" s="42"/>
      <c r="E346" s="42"/>
    </row>
    <row r="347" ht="15.75" customHeight="1">
      <c r="D347" s="42"/>
      <c r="E347" s="42"/>
    </row>
    <row r="348" ht="15.75" customHeight="1">
      <c r="D348" s="42"/>
      <c r="E348" s="42"/>
    </row>
    <row r="349" ht="15.75" customHeight="1">
      <c r="D349" s="42"/>
      <c r="E349" s="42"/>
    </row>
    <row r="350" ht="15.75" customHeight="1">
      <c r="D350" s="42"/>
      <c r="E350" s="42"/>
    </row>
    <row r="351" ht="15.75" customHeight="1">
      <c r="D351" s="42"/>
      <c r="E351" s="42"/>
    </row>
    <row r="352" ht="15.75" customHeight="1">
      <c r="D352" s="42"/>
      <c r="E352" s="42"/>
    </row>
    <row r="353" ht="15.75" customHeight="1">
      <c r="D353" s="42"/>
      <c r="E353" s="42"/>
    </row>
    <row r="354" ht="15.75" customHeight="1">
      <c r="D354" s="42"/>
      <c r="E354" s="42"/>
    </row>
    <row r="355" ht="15.75" customHeight="1">
      <c r="D355" s="42"/>
      <c r="E355" s="42"/>
    </row>
    <row r="356" ht="15.75" customHeight="1">
      <c r="D356" s="42"/>
      <c r="E356" s="42"/>
    </row>
    <row r="357" ht="15.75" customHeight="1">
      <c r="D357" s="42"/>
      <c r="E357" s="42"/>
    </row>
    <row r="358" ht="15.75" customHeight="1">
      <c r="D358" s="42"/>
      <c r="E358" s="42"/>
    </row>
    <row r="359" ht="15.75" customHeight="1">
      <c r="D359" s="42"/>
      <c r="E359" s="42"/>
    </row>
    <row r="360" ht="15.75" customHeight="1">
      <c r="D360" s="42"/>
      <c r="E360" s="42"/>
    </row>
    <row r="361" ht="15.75" customHeight="1">
      <c r="D361" s="42"/>
      <c r="E361" s="42"/>
    </row>
    <row r="362" ht="15.75" customHeight="1">
      <c r="D362" s="42"/>
      <c r="E362" s="42"/>
    </row>
    <row r="363" ht="15.75" customHeight="1">
      <c r="D363" s="42"/>
      <c r="E363" s="42"/>
    </row>
    <row r="364" ht="15.75" customHeight="1">
      <c r="D364" s="42"/>
      <c r="E364" s="42"/>
    </row>
    <row r="365" ht="15.75" customHeight="1">
      <c r="D365" s="42"/>
      <c r="E365" s="42"/>
    </row>
    <row r="366" ht="15.75" customHeight="1">
      <c r="D366" s="42"/>
      <c r="E366" s="42"/>
    </row>
    <row r="367" ht="15.75" customHeight="1">
      <c r="D367" s="42"/>
      <c r="E367" s="42"/>
    </row>
    <row r="368" ht="15.75" customHeight="1">
      <c r="D368" s="42"/>
      <c r="E368" s="42"/>
    </row>
    <row r="369" ht="15.75" customHeight="1">
      <c r="D369" s="42"/>
      <c r="E369" s="42"/>
    </row>
    <row r="370" ht="15.75" customHeight="1">
      <c r="D370" s="42"/>
      <c r="E370" s="42"/>
    </row>
    <row r="371" ht="15.75" customHeight="1">
      <c r="D371" s="42"/>
      <c r="E371" s="42"/>
    </row>
    <row r="372" ht="15.75" customHeight="1">
      <c r="D372" s="42"/>
      <c r="E372" s="42"/>
    </row>
    <row r="373" ht="15.75" customHeight="1">
      <c r="D373" s="42"/>
      <c r="E373" s="42"/>
    </row>
    <row r="374" ht="15.75" customHeight="1">
      <c r="D374" s="42"/>
      <c r="E374" s="42"/>
    </row>
    <row r="375" ht="15.75" customHeight="1">
      <c r="D375" s="42"/>
      <c r="E375" s="42"/>
    </row>
    <row r="376" ht="15.75" customHeight="1">
      <c r="D376" s="42"/>
      <c r="E376" s="42"/>
    </row>
    <row r="377" ht="15.75" customHeight="1">
      <c r="D377" s="42"/>
      <c r="E377" s="42"/>
    </row>
    <row r="378" ht="15.75" customHeight="1">
      <c r="D378" s="42"/>
      <c r="E378" s="42"/>
    </row>
    <row r="379" ht="15.75" customHeight="1">
      <c r="D379" s="42"/>
      <c r="E379" s="42"/>
    </row>
    <row r="380" ht="15.75" customHeight="1">
      <c r="D380" s="42"/>
      <c r="E380" s="42"/>
    </row>
    <row r="381" ht="15.75" customHeight="1">
      <c r="D381" s="42"/>
      <c r="E381" s="42"/>
    </row>
    <row r="382" ht="15.75" customHeight="1">
      <c r="D382" s="42"/>
      <c r="E382" s="42"/>
    </row>
    <row r="383" ht="15.75" customHeight="1">
      <c r="D383" s="42"/>
      <c r="E383" s="42"/>
    </row>
    <row r="384" ht="15.75" customHeight="1">
      <c r="D384" s="42"/>
      <c r="E384" s="42"/>
    </row>
    <row r="385" ht="15.75" customHeight="1">
      <c r="D385" s="42"/>
      <c r="E385" s="42"/>
    </row>
    <row r="386" ht="15.75" customHeight="1">
      <c r="D386" s="42"/>
      <c r="E386" s="42"/>
    </row>
    <row r="387" ht="15.75" customHeight="1">
      <c r="D387" s="42"/>
      <c r="E387" s="42"/>
    </row>
    <row r="388" ht="15.75" customHeight="1">
      <c r="D388" s="42"/>
      <c r="E388" s="42"/>
    </row>
    <row r="389" ht="15.75" customHeight="1">
      <c r="D389" s="42"/>
      <c r="E389" s="42"/>
    </row>
    <row r="390" ht="15.75" customHeight="1">
      <c r="D390" s="42"/>
      <c r="E390" s="42"/>
    </row>
    <row r="391" ht="15.75" customHeight="1">
      <c r="D391" s="42"/>
      <c r="E391" s="42"/>
    </row>
    <row r="392" ht="15.75" customHeight="1">
      <c r="D392" s="42"/>
      <c r="E392" s="42"/>
    </row>
    <row r="393" ht="15.75" customHeight="1">
      <c r="D393" s="42"/>
      <c r="E393" s="42"/>
    </row>
    <row r="394" ht="15.75" customHeight="1">
      <c r="D394" s="42"/>
      <c r="E394" s="42"/>
    </row>
    <row r="395" ht="15.75" customHeight="1">
      <c r="D395" s="42"/>
      <c r="E395" s="42"/>
    </row>
    <row r="396" ht="15.75" customHeight="1">
      <c r="D396" s="42"/>
      <c r="E396" s="42"/>
    </row>
    <row r="397" ht="15.75" customHeight="1">
      <c r="D397" s="42"/>
      <c r="E397" s="42"/>
    </row>
    <row r="398" ht="15.75" customHeight="1">
      <c r="D398" s="42"/>
      <c r="E398" s="42"/>
    </row>
    <row r="399" ht="15.75" customHeight="1">
      <c r="D399" s="42"/>
      <c r="E399" s="42"/>
    </row>
    <row r="400" ht="15.75" customHeight="1">
      <c r="D400" s="42"/>
      <c r="E400" s="42"/>
    </row>
    <row r="401" ht="15.75" customHeight="1">
      <c r="D401" s="42"/>
      <c r="E401" s="42"/>
    </row>
    <row r="402" ht="15.75" customHeight="1">
      <c r="D402" s="42"/>
      <c r="E402" s="42"/>
    </row>
    <row r="403" ht="15.75" customHeight="1">
      <c r="D403" s="42"/>
      <c r="E403" s="42"/>
    </row>
    <row r="404" ht="15.75" customHeight="1">
      <c r="D404" s="42"/>
      <c r="E404" s="42"/>
    </row>
    <row r="405" ht="15.75" customHeight="1">
      <c r="D405" s="42"/>
      <c r="E405" s="42"/>
    </row>
    <row r="406" ht="15.75" customHeight="1">
      <c r="D406" s="42"/>
      <c r="E406" s="42"/>
    </row>
    <row r="407" ht="15.75" customHeight="1">
      <c r="D407" s="42"/>
      <c r="E407" s="42"/>
    </row>
    <row r="408" ht="15.75" customHeight="1">
      <c r="D408" s="42"/>
      <c r="E408" s="42"/>
    </row>
    <row r="409" ht="15.75" customHeight="1">
      <c r="D409" s="42"/>
      <c r="E409" s="42"/>
    </row>
    <row r="410" ht="15.75" customHeight="1">
      <c r="D410" s="42"/>
      <c r="E410" s="42"/>
    </row>
    <row r="411" ht="15.75" customHeight="1">
      <c r="D411" s="42"/>
      <c r="E411" s="42"/>
    </row>
    <row r="412" ht="15.75" customHeight="1">
      <c r="D412" s="42"/>
      <c r="E412" s="42"/>
    </row>
    <row r="413" ht="15.75" customHeight="1">
      <c r="D413" s="42"/>
      <c r="E413" s="42"/>
    </row>
    <row r="414" ht="15.75" customHeight="1">
      <c r="D414" s="42"/>
      <c r="E414" s="42"/>
    </row>
    <row r="415" ht="15.75" customHeight="1">
      <c r="D415" s="42"/>
      <c r="E415" s="42"/>
    </row>
    <row r="416" ht="15.75" customHeight="1">
      <c r="D416" s="42"/>
      <c r="E416" s="42"/>
    </row>
    <row r="417" ht="15.75" customHeight="1">
      <c r="D417" s="42"/>
      <c r="E417" s="42"/>
    </row>
    <row r="418" ht="15.75" customHeight="1">
      <c r="D418" s="42"/>
      <c r="E418" s="42"/>
    </row>
    <row r="419" ht="15.75" customHeight="1">
      <c r="D419" s="42"/>
      <c r="E419" s="42"/>
    </row>
    <row r="420" ht="15.75" customHeight="1">
      <c r="D420" s="42"/>
      <c r="E420" s="42"/>
    </row>
    <row r="421" ht="15.75" customHeight="1">
      <c r="D421" s="42"/>
      <c r="E421" s="42"/>
    </row>
    <row r="422" ht="15.75" customHeight="1">
      <c r="D422" s="42"/>
      <c r="E422" s="42"/>
    </row>
    <row r="423" ht="15.75" customHeight="1">
      <c r="D423" s="42"/>
      <c r="E423" s="42"/>
    </row>
    <row r="424" ht="15.75" customHeight="1">
      <c r="D424" s="42"/>
      <c r="E424" s="42"/>
    </row>
    <row r="425" ht="15.75" customHeight="1">
      <c r="D425" s="42"/>
      <c r="E425" s="42"/>
    </row>
    <row r="426" ht="15.75" customHeight="1">
      <c r="D426" s="42"/>
      <c r="E426" s="42"/>
    </row>
    <row r="427" ht="15.75" customHeight="1">
      <c r="D427" s="42"/>
      <c r="E427" s="42"/>
    </row>
    <row r="428" ht="15.75" customHeight="1">
      <c r="D428" s="42"/>
      <c r="E428" s="42"/>
    </row>
    <row r="429" ht="15.75" customHeight="1">
      <c r="D429" s="42"/>
      <c r="E429" s="42"/>
    </row>
    <row r="430" ht="15.75" customHeight="1">
      <c r="D430" s="42"/>
      <c r="E430" s="42"/>
    </row>
    <row r="431" ht="15.75" customHeight="1">
      <c r="D431" s="42"/>
      <c r="E431" s="42"/>
    </row>
    <row r="432" ht="15.75" customHeight="1">
      <c r="D432" s="42"/>
      <c r="E432" s="42"/>
    </row>
    <row r="433" ht="15.75" customHeight="1">
      <c r="D433" s="42"/>
      <c r="E433" s="42"/>
    </row>
    <row r="434" ht="15.75" customHeight="1">
      <c r="D434" s="42"/>
      <c r="E434" s="42"/>
    </row>
    <row r="435" ht="15.75" customHeight="1">
      <c r="D435" s="42"/>
      <c r="E435" s="42"/>
    </row>
    <row r="436" ht="15.75" customHeight="1">
      <c r="D436" s="42"/>
      <c r="E436" s="42"/>
    </row>
    <row r="437" ht="15.75" customHeight="1">
      <c r="D437" s="42"/>
      <c r="E437" s="42"/>
    </row>
    <row r="438" ht="15.75" customHeight="1">
      <c r="D438" s="42"/>
      <c r="E438" s="42"/>
    </row>
    <row r="439" ht="15.75" customHeight="1">
      <c r="D439" s="42"/>
      <c r="E439" s="42"/>
    </row>
    <row r="440" ht="15.75" customHeight="1">
      <c r="D440" s="42"/>
      <c r="E440" s="42"/>
    </row>
    <row r="441" ht="15.75" customHeight="1">
      <c r="D441" s="42"/>
      <c r="E441" s="42"/>
    </row>
    <row r="442" ht="15.75" customHeight="1">
      <c r="D442" s="42"/>
      <c r="E442" s="42"/>
    </row>
    <row r="443" ht="15.75" customHeight="1">
      <c r="D443" s="42"/>
      <c r="E443" s="42"/>
    </row>
    <row r="444" ht="15.75" customHeight="1">
      <c r="D444" s="42"/>
      <c r="E444" s="42"/>
    </row>
    <row r="445" ht="15.75" customHeight="1">
      <c r="D445" s="42"/>
      <c r="E445" s="42"/>
    </row>
    <row r="446" ht="15.75" customHeight="1">
      <c r="D446" s="42"/>
      <c r="E446" s="42"/>
    </row>
    <row r="447" ht="15.75" customHeight="1">
      <c r="D447" s="42"/>
      <c r="E447" s="42"/>
    </row>
    <row r="448" ht="15.75" customHeight="1">
      <c r="D448" s="42"/>
      <c r="E448" s="42"/>
    </row>
    <row r="449" ht="15.75" customHeight="1">
      <c r="D449" s="42"/>
      <c r="E449" s="42"/>
    </row>
    <row r="450" ht="15.75" customHeight="1">
      <c r="D450" s="42"/>
      <c r="E450" s="42"/>
    </row>
    <row r="451" ht="15.75" customHeight="1">
      <c r="D451" s="42"/>
      <c r="E451" s="42"/>
    </row>
    <row r="452" ht="15.75" customHeight="1">
      <c r="D452" s="42"/>
      <c r="E452" s="42"/>
    </row>
    <row r="453" ht="15.75" customHeight="1">
      <c r="D453" s="42"/>
      <c r="E453" s="42"/>
    </row>
    <row r="454" ht="15.75" customHeight="1">
      <c r="D454" s="42"/>
      <c r="E454" s="42"/>
    </row>
    <row r="455" ht="15.75" customHeight="1">
      <c r="D455" s="42"/>
      <c r="E455" s="42"/>
    </row>
    <row r="456" ht="15.75" customHeight="1">
      <c r="D456" s="42"/>
      <c r="E456" s="42"/>
    </row>
    <row r="457" ht="15.75" customHeight="1">
      <c r="D457" s="42"/>
      <c r="E457" s="42"/>
    </row>
    <row r="458" ht="15.75" customHeight="1">
      <c r="D458" s="42"/>
      <c r="E458" s="42"/>
    </row>
    <row r="459" ht="15.75" customHeight="1">
      <c r="D459" s="42"/>
      <c r="E459" s="42"/>
    </row>
    <row r="460" ht="15.75" customHeight="1">
      <c r="D460" s="42"/>
      <c r="E460" s="42"/>
    </row>
    <row r="461" ht="15.75" customHeight="1">
      <c r="D461" s="42"/>
      <c r="E461" s="42"/>
    </row>
    <row r="462" ht="15.75" customHeight="1">
      <c r="D462" s="42"/>
      <c r="E462" s="42"/>
    </row>
    <row r="463" ht="15.75" customHeight="1">
      <c r="D463" s="42"/>
      <c r="E463" s="42"/>
    </row>
    <row r="464" ht="15.75" customHeight="1">
      <c r="D464" s="42"/>
      <c r="E464" s="42"/>
    </row>
    <row r="465" ht="15.75" customHeight="1">
      <c r="D465" s="42"/>
      <c r="E465" s="42"/>
    </row>
    <row r="466" ht="15.75" customHeight="1">
      <c r="D466" s="42"/>
      <c r="E466" s="42"/>
    </row>
    <row r="467" ht="15.75" customHeight="1">
      <c r="D467" s="42"/>
      <c r="E467" s="42"/>
    </row>
    <row r="468" ht="15.75" customHeight="1">
      <c r="D468" s="42"/>
      <c r="E468" s="42"/>
    </row>
    <row r="469" ht="15.75" customHeight="1">
      <c r="D469" s="42"/>
      <c r="E469" s="42"/>
    </row>
    <row r="470" ht="15.75" customHeight="1">
      <c r="D470" s="42"/>
      <c r="E470" s="42"/>
    </row>
    <row r="471" ht="15.75" customHeight="1">
      <c r="D471" s="42"/>
      <c r="E471" s="42"/>
    </row>
    <row r="472" ht="15.75" customHeight="1">
      <c r="D472" s="42"/>
      <c r="E472" s="42"/>
    </row>
    <row r="473" ht="15.75" customHeight="1">
      <c r="D473" s="42"/>
      <c r="E473" s="42"/>
    </row>
    <row r="474" ht="15.75" customHeight="1">
      <c r="D474" s="42"/>
      <c r="E474" s="42"/>
    </row>
    <row r="475" ht="15.75" customHeight="1">
      <c r="D475" s="42"/>
      <c r="E475" s="42"/>
    </row>
    <row r="476" ht="15.75" customHeight="1">
      <c r="D476" s="42"/>
      <c r="E476" s="42"/>
    </row>
    <row r="477" ht="15.75" customHeight="1">
      <c r="D477" s="42"/>
      <c r="E477" s="42"/>
    </row>
    <row r="478" ht="15.75" customHeight="1">
      <c r="D478" s="42"/>
      <c r="E478" s="42"/>
    </row>
    <row r="479" ht="15.75" customHeight="1">
      <c r="D479" s="42"/>
      <c r="E479" s="42"/>
    </row>
    <row r="480" ht="15.75" customHeight="1">
      <c r="D480" s="42"/>
      <c r="E480" s="42"/>
    </row>
    <row r="481" ht="15.75" customHeight="1">
      <c r="D481" s="42"/>
      <c r="E481" s="42"/>
    </row>
    <row r="482" ht="15.75" customHeight="1">
      <c r="D482" s="42"/>
      <c r="E482" s="42"/>
    </row>
    <row r="483" ht="15.75" customHeight="1">
      <c r="D483" s="42"/>
      <c r="E483" s="42"/>
    </row>
    <row r="484" ht="15.75" customHeight="1">
      <c r="D484" s="42"/>
      <c r="E484" s="42"/>
    </row>
    <row r="485" ht="15.75" customHeight="1">
      <c r="D485" s="42"/>
      <c r="E485" s="42"/>
    </row>
    <row r="486" ht="15.75" customHeight="1">
      <c r="D486" s="42"/>
      <c r="E486" s="42"/>
    </row>
    <row r="487" ht="15.75" customHeight="1">
      <c r="D487" s="42"/>
      <c r="E487" s="42"/>
    </row>
    <row r="488" ht="15.75" customHeight="1">
      <c r="D488" s="42"/>
      <c r="E488" s="42"/>
    </row>
    <row r="489" ht="15.75" customHeight="1">
      <c r="D489" s="42"/>
      <c r="E489" s="42"/>
    </row>
    <row r="490" ht="15.75" customHeight="1">
      <c r="D490" s="42"/>
      <c r="E490" s="42"/>
    </row>
    <row r="491" ht="15.75" customHeight="1">
      <c r="D491" s="42"/>
      <c r="E491" s="42"/>
    </row>
    <row r="492" ht="15.75" customHeight="1">
      <c r="D492" s="42"/>
      <c r="E492" s="42"/>
    </row>
    <row r="493" ht="15.75" customHeight="1">
      <c r="D493" s="42"/>
      <c r="E493" s="42"/>
    </row>
    <row r="494" ht="15.75" customHeight="1">
      <c r="D494" s="42"/>
      <c r="E494" s="42"/>
    </row>
    <row r="495" ht="15.75" customHeight="1">
      <c r="D495" s="42"/>
      <c r="E495" s="42"/>
    </row>
    <row r="496" ht="15.75" customHeight="1">
      <c r="D496" s="42"/>
      <c r="E496" s="42"/>
    </row>
    <row r="497" ht="15.75" customHeight="1">
      <c r="D497" s="42"/>
      <c r="E497" s="42"/>
    </row>
    <row r="498" ht="15.75" customHeight="1">
      <c r="D498" s="42"/>
      <c r="E498" s="42"/>
    </row>
    <row r="499" ht="15.75" customHeight="1">
      <c r="D499" s="42"/>
      <c r="E499" s="42"/>
    </row>
    <row r="500" ht="15.75" customHeight="1">
      <c r="D500" s="42"/>
      <c r="E500" s="42"/>
    </row>
    <row r="501" ht="15.75" customHeight="1">
      <c r="D501" s="42"/>
      <c r="E501" s="42"/>
    </row>
    <row r="502" ht="15.75" customHeight="1">
      <c r="D502" s="42"/>
      <c r="E502" s="42"/>
    </row>
    <row r="503" ht="15.75" customHeight="1">
      <c r="D503" s="42"/>
      <c r="E503" s="42"/>
    </row>
    <row r="504" ht="15.75" customHeight="1">
      <c r="D504" s="42"/>
      <c r="E504" s="42"/>
    </row>
    <row r="505" ht="15.75" customHeight="1">
      <c r="D505" s="42"/>
      <c r="E505" s="42"/>
    </row>
    <row r="506" ht="15.75" customHeight="1">
      <c r="D506" s="42"/>
      <c r="E506" s="42"/>
    </row>
    <row r="507" ht="15.75" customHeight="1">
      <c r="D507" s="42"/>
      <c r="E507" s="42"/>
    </row>
    <row r="508" ht="15.75" customHeight="1">
      <c r="D508" s="42"/>
      <c r="E508" s="42"/>
    </row>
    <row r="509" ht="15.75" customHeight="1">
      <c r="D509" s="42"/>
      <c r="E509" s="42"/>
    </row>
    <row r="510" ht="15.75" customHeight="1">
      <c r="D510" s="42"/>
      <c r="E510" s="42"/>
    </row>
    <row r="511" ht="15.75" customHeight="1">
      <c r="D511" s="42"/>
      <c r="E511" s="42"/>
    </row>
    <row r="512" ht="15.75" customHeight="1">
      <c r="D512" s="42"/>
      <c r="E512" s="42"/>
    </row>
    <row r="513" ht="15.75" customHeight="1">
      <c r="D513" s="42"/>
      <c r="E513" s="42"/>
    </row>
    <row r="514" ht="15.75" customHeight="1">
      <c r="D514" s="42"/>
      <c r="E514" s="42"/>
    </row>
    <row r="515" ht="15.75" customHeight="1">
      <c r="D515" s="42"/>
      <c r="E515" s="42"/>
    </row>
    <row r="516" ht="15.75" customHeight="1">
      <c r="D516" s="42"/>
      <c r="E516" s="42"/>
    </row>
    <row r="517" ht="15.75" customHeight="1">
      <c r="D517" s="42"/>
      <c r="E517" s="42"/>
    </row>
    <row r="518" ht="15.75" customHeight="1">
      <c r="D518" s="42"/>
      <c r="E518" s="42"/>
    </row>
    <row r="519" ht="15.75" customHeight="1">
      <c r="D519" s="42"/>
      <c r="E519" s="42"/>
    </row>
    <row r="520" ht="15.75" customHeight="1">
      <c r="D520" s="42"/>
      <c r="E520" s="42"/>
    </row>
    <row r="521" ht="15.75" customHeight="1">
      <c r="D521" s="42"/>
      <c r="E521" s="42"/>
    </row>
    <row r="522" ht="15.75" customHeight="1">
      <c r="D522" s="42"/>
      <c r="E522" s="42"/>
    </row>
    <row r="523" ht="15.75" customHeight="1">
      <c r="D523" s="42"/>
      <c r="E523" s="42"/>
    </row>
    <row r="524" ht="15.75" customHeight="1">
      <c r="D524" s="42"/>
      <c r="E524" s="42"/>
    </row>
    <row r="525" ht="15.75" customHeight="1">
      <c r="D525" s="42"/>
      <c r="E525" s="42"/>
    </row>
    <row r="526" ht="15.75" customHeight="1">
      <c r="D526" s="42"/>
      <c r="E526" s="42"/>
    </row>
    <row r="527" ht="15.75" customHeight="1">
      <c r="D527" s="42"/>
      <c r="E527" s="42"/>
    </row>
    <row r="528" ht="15.75" customHeight="1">
      <c r="D528" s="42"/>
      <c r="E528" s="42"/>
    </row>
    <row r="529" ht="15.75" customHeight="1">
      <c r="D529" s="42"/>
      <c r="E529" s="42"/>
    </row>
    <row r="530" ht="15.75" customHeight="1">
      <c r="D530" s="42"/>
      <c r="E530" s="42"/>
    </row>
    <row r="531" ht="15.75" customHeight="1">
      <c r="D531" s="42"/>
      <c r="E531" s="42"/>
    </row>
    <row r="532" ht="15.75" customHeight="1">
      <c r="D532" s="42"/>
      <c r="E532" s="42"/>
    </row>
    <row r="533" ht="15.75" customHeight="1">
      <c r="D533" s="42"/>
      <c r="E533" s="42"/>
    </row>
    <row r="534" ht="15.75" customHeight="1">
      <c r="D534" s="42"/>
      <c r="E534" s="42"/>
    </row>
    <row r="535" ht="15.75" customHeight="1">
      <c r="D535" s="42"/>
      <c r="E535" s="42"/>
    </row>
    <row r="536" ht="15.75" customHeight="1">
      <c r="D536" s="42"/>
      <c r="E536" s="42"/>
    </row>
    <row r="537" ht="15.75" customHeight="1">
      <c r="D537" s="42"/>
      <c r="E537" s="42"/>
    </row>
    <row r="538" ht="15.75" customHeight="1">
      <c r="D538" s="42"/>
      <c r="E538" s="42"/>
    </row>
    <row r="539" ht="15.75" customHeight="1">
      <c r="D539" s="42"/>
      <c r="E539" s="42"/>
    </row>
    <row r="540" ht="15.75" customHeight="1">
      <c r="D540" s="42"/>
      <c r="E540" s="42"/>
    </row>
    <row r="541" ht="15.75" customHeight="1">
      <c r="D541" s="42"/>
      <c r="E541" s="42"/>
    </row>
    <row r="542" ht="15.75" customHeight="1">
      <c r="D542" s="42"/>
      <c r="E542" s="42"/>
    </row>
    <row r="543" ht="15.75" customHeight="1">
      <c r="D543" s="42"/>
      <c r="E543" s="42"/>
    </row>
    <row r="544" ht="15.75" customHeight="1">
      <c r="D544" s="42"/>
      <c r="E544" s="42"/>
    </row>
    <row r="545" ht="15.75" customHeight="1">
      <c r="D545" s="42"/>
      <c r="E545" s="42"/>
    </row>
    <row r="546" ht="15.75" customHeight="1">
      <c r="D546" s="42"/>
      <c r="E546" s="42"/>
    </row>
    <row r="547" ht="15.75" customHeight="1">
      <c r="D547" s="42"/>
      <c r="E547" s="42"/>
    </row>
    <row r="548" ht="15.75" customHeight="1">
      <c r="D548" s="42"/>
      <c r="E548" s="42"/>
    </row>
    <row r="549" ht="15.75" customHeight="1">
      <c r="D549" s="42"/>
      <c r="E549" s="42"/>
    </row>
    <row r="550" ht="15.75" customHeight="1">
      <c r="D550" s="42"/>
      <c r="E550" s="42"/>
    </row>
    <row r="551" ht="15.75" customHeight="1">
      <c r="D551" s="42"/>
      <c r="E551" s="42"/>
    </row>
    <row r="552" ht="15.75" customHeight="1">
      <c r="D552" s="42"/>
      <c r="E552" s="42"/>
    </row>
    <row r="553" ht="15.75" customHeight="1">
      <c r="D553" s="42"/>
      <c r="E553" s="42"/>
    </row>
    <row r="554" ht="15.75" customHeight="1">
      <c r="D554" s="42"/>
      <c r="E554" s="42"/>
    </row>
    <row r="555" ht="15.75" customHeight="1">
      <c r="D555" s="42"/>
      <c r="E555" s="42"/>
    </row>
    <row r="556" ht="15.75" customHeight="1">
      <c r="D556" s="42"/>
      <c r="E556" s="42"/>
    </row>
    <row r="557" ht="15.75" customHeight="1">
      <c r="D557" s="42"/>
      <c r="E557" s="42"/>
    </row>
    <row r="558" ht="15.75" customHeight="1">
      <c r="D558" s="42"/>
      <c r="E558" s="42"/>
    </row>
    <row r="559" ht="15.75" customHeight="1">
      <c r="D559" s="42"/>
      <c r="E559" s="42"/>
    </row>
    <row r="560" ht="15.75" customHeight="1">
      <c r="D560" s="42"/>
      <c r="E560" s="42"/>
    </row>
    <row r="561" ht="15.75" customHeight="1">
      <c r="D561" s="42"/>
      <c r="E561" s="42"/>
    </row>
    <row r="562" ht="15.75" customHeight="1">
      <c r="D562" s="42"/>
      <c r="E562" s="42"/>
    </row>
    <row r="563" ht="15.75" customHeight="1">
      <c r="D563" s="42"/>
      <c r="E563" s="42"/>
    </row>
    <row r="564" ht="15.75" customHeight="1">
      <c r="D564" s="42"/>
      <c r="E564" s="42"/>
    </row>
    <row r="565" ht="15.75" customHeight="1">
      <c r="D565" s="42"/>
      <c r="E565" s="42"/>
    </row>
    <row r="566" ht="15.75" customHeight="1">
      <c r="D566" s="42"/>
      <c r="E566" s="42"/>
    </row>
    <row r="567" ht="15.75" customHeight="1">
      <c r="D567" s="42"/>
      <c r="E567" s="42"/>
    </row>
    <row r="568" ht="15.75" customHeight="1">
      <c r="D568" s="42"/>
      <c r="E568" s="42"/>
    </row>
    <row r="569" ht="15.75" customHeight="1">
      <c r="D569" s="42"/>
      <c r="E569" s="42"/>
    </row>
    <row r="570" ht="15.75" customHeight="1">
      <c r="D570" s="42"/>
      <c r="E570" s="42"/>
    </row>
    <row r="571" ht="15.75" customHeight="1">
      <c r="D571" s="42"/>
      <c r="E571" s="42"/>
    </row>
    <row r="572" ht="15.75" customHeight="1">
      <c r="D572" s="42"/>
      <c r="E572" s="42"/>
    </row>
    <row r="573" ht="15.75" customHeight="1">
      <c r="D573" s="42"/>
      <c r="E573" s="42"/>
    </row>
    <row r="574" ht="15.75" customHeight="1">
      <c r="D574" s="42"/>
      <c r="E574" s="42"/>
    </row>
    <row r="575" ht="15.75" customHeight="1">
      <c r="D575" s="42"/>
      <c r="E575" s="42"/>
    </row>
    <row r="576" ht="15.75" customHeight="1">
      <c r="D576" s="42"/>
      <c r="E576" s="42"/>
    </row>
    <row r="577" ht="15.75" customHeight="1">
      <c r="D577" s="42"/>
      <c r="E577" s="42"/>
    </row>
    <row r="578" ht="15.75" customHeight="1">
      <c r="D578" s="42"/>
      <c r="E578" s="42"/>
    </row>
    <row r="579" ht="15.75" customHeight="1">
      <c r="D579" s="42"/>
      <c r="E579" s="42"/>
    </row>
    <row r="580" ht="15.75" customHeight="1">
      <c r="D580" s="42"/>
      <c r="E580" s="42"/>
    </row>
    <row r="581" ht="15.75" customHeight="1">
      <c r="D581" s="42"/>
      <c r="E581" s="42"/>
    </row>
    <row r="582" ht="15.75" customHeight="1">
      <c r="D582" s="42"/>
      <c r="E582" s="42"/>
    </row>
    <row r="583" ht="15.75" customHeight="1">
      <c r="D583" s="42"/>
      <c r="E583" s="42"/>
    </row>
    <row r="584" ht="15.75" customHeight="1">
      <c r="D584" s="42"/>
      <c r="E584" s="42"/>
    </row>
    <row r="585" ht="15.75" customHeight="1">
      <c r="D585" s="42"/>
      <c r="E585" s="42"/>
    </row>
    <row r="586" ht="15.75" customHeight="1">
      <c r="D586" s="42"/>
      <c r="E586" s="42"/>
    </row>
    <row r="587" ht="15.75" customHeight="1">
      <c r="D587" s="42"/>
      <c r="E587" s="42"/>
    </row>
    <row r="588" ht="15.75" customHeight="1">
      <c r="D588" s="42"/>
      <c r="E588" s="42"/>
    </row>
    <row r="589" ht="15.75" customHeight="1">
      <c r="D589" s="42"/>
      <c r="E589" s="42"/>
    </row>
    <row r="590" ht="15.75" customHeight="1">
      <c r="D590" s="42"/>
      <c r="E590" s="42"/>
    </row>
    <row r="591" ht="15.75" customHeight="1">
      <c r="D591" s="42"/>
      <c r="E591" s="42"/>
    </row>
    <row r="592" ht="15.75" customHeight="1">
      <c r="D592" s="42"/>
      <c r="E592" s="42"/>
    </row>
    <row r="593" ht="15.75" customHeight="1">
      <c r="D593" s="42"/>
      <c r="E593" s="42"/>
    </row>
    <row r="594" ht="15.75" customHeight="1">
      <c r="D594" s="42"/>
      <c r="E594" s="42"/>
    </row>
    <row r="595" ht="15.75" customHeight="1">
      <c r="D595" s="42"/>
      <c r="E595" s="42"/>
    </row>
    <row r="596" ht="15.75" customHeight="1">
      <c r="D596" s="42"/>
      <c r="E596" s="42"/>
    </row>
    <row r="597" ht="15.75" customHeight="1">
      <c r="D597" s="42"/>
      <c r="E597" s="42"/>
    </row>
    <row r="598" ht="15.75" customHeight="1">
      <c r="D598" s="42"/>
      <c r="E598" s="42"/>
    </row>
    <row r="599" ht="15.75" customHeight="1">
      <c r="D599" s="42"/>
      <c r="E599" s="42"/>
    </row>
    <row r="600" ht="15.75" customHeight="1">
      <c r="D600" s="42"/>
      <c r="E600" s="42"/>
    </row>
    <row r="601" ht="15.75" customHeight="1">
      <c r="D601" s="42"/>
      <c r="E601" s="42"/>
    </row>
    <row r="602" ht="15.75" customHeight="1">
      <c r="D602" s="42"/>
      <c r="E602" s="42"/>
    </row>
    <row r="603" ht="15.75" customHeight="1">
      <c r="D603" s="42"/>
      <c r="E603" s="42"/>
    </row>
    <row r="604" ht="15.75" customHeight="1">
      <c r="D604" s="42"/>
      <c r="E604" s="42"/>
    </row>
    <row r="605" ht="15.75" customHeight="1">
      <c r="D605" s="42"/>
      <c r="E605" s="42"/>
    </row>
    <row r="606" ht="15.75" customHeight="1">
      <c r="D606" s="42"/>
      <c r="E606" s="42"/>
    </row>
    <row r="607" ht="15.75" customHeight="1">
      <c r="D607" s="42"/>
      <c r="E607" s="42"/>
    </row>
    <row r="608" ht="15.75" customHeight="1">
      <c r="D608" s="42"/>
      <c r="E608" s="42"/>
    </row>
    <row r="609" ht="15.75" customHeight="1">
      <c r="D609" s="42"/>
      <c r="E609" s="42"/>
    </row>
    <row r="610" ht="15.75" customHeight="1">
      <c r="D610" s="42"/>
      <c r="E610" s="42"/>
    </row>
    <row r="611" ht="15.75" customHeight="1">
      <c r="D611" s="42"/>
      <c r="E611" s="42"/>
    </row>
    <row r="612" ht="15.75" customHeight="1">
      <c r="D612" s="42"/>
      <c r="E612" s="42"/>
    </row>
    <row r="613" ht="15.75" customHeight="1">
      <c r="D613" s="42"/>
      <c r="E613" s="42"/>
    </row>
    <row r="614" ht="15.75" customHeight="1">
      <c r="D614" s="42"/>
      <c r="E614" s="42"/>
    </row>
    <row r="615" ht="15.75" customHeight="1">
      <c r="D615" s="42"/>
      <c r="E615" s="42"/>
    </row>
    <row r="616" ht="15.75" customHeight="1">
      <c r="D616" s="42"/>
      <c r="E616" s="42"/>
    </row>
    <row r="617" ht="15.75" customHeight="1">
      <c r="D617" s="42"/>
      <c r="E617" s="42"/>
    </row>
    <row r="618" ht="15.75" customHeight="1">
      <c r="D618" s="42"/>
      <c r="E618" s="42"/>
    </row>
    <row r="619" ht="15.75" customHeight="1">
      <c r="D619" s="42"/>
      <c r="E619" s="42"/>
    </row>
    <row r="620" ht="15.75" customHeight="1">
      <c r="D620" s="42"/>
      <c r="E620" s="42"/>
    </row>
    <row r="621" ht="15.75" customHeight="1">
      <c r="D621" s="42"/>
      <c r="E621" s="42"/>
    </row>
    <row r="622" ht="15.75" customHeight="1">
      <c r="D622" s="42"/>
      <c r="E622" s="42"/>
    </row>
    <row r="623" ht="15.75" customHeight="1">
      <c r="D623" s="42"/>
      <c r="E623" s="42"/>
    </row>
    <row r="624" ht="15.75" customHeight="1">
      <c r="D624" s="42"/>
      <c r="E624" s="42"/>
    </row>
    <row r="625" ht="15.75" customHeight="1">
      <c r="D625" s="42"/>
      <c r="E625" s="42"/>
    </row>
    <row r="626" ht="15.75" customHeight="1">
      <c r="D626" s="42"/>
      <c r="E626" s="42"/>
    </row>
    <row r="627" ht="15.75" customHeight="1">
      <c r="D627" s="42"/>
      <c r="E627" s="42"/>
    </row>
    <row r="628" ht="15.75" customHeight="1">
      <c r="D628" s="42"/>
      <c r="E628" s="42"/>
    </row>
    <row r="629" ht="15.75" customHeight="1">
      <c r="D629" s="42"/>
      <c r="E629" s="42"/>
    </row>
    <row r="630" ht="15.75" customHeight="1">
      <c r="D630" s="42"/>
      <c r="E630" s="42"/>
    </row>
    <row r="631" ht="15.75" customHeight="1">
      <c r="D631" s="42"/>
      <c r="E631" s="42"/>
    </row>
    <row r="632" ht="15.75" customHeight="1">
      <c r="D632" s="42"/>
      <c r="E632" s="42"/>
    </row>
    <row r="633" ht="15.75" customHeight="1">
      <c r="D633" s="42"/>
      <c r="E633" s="42"/>
    </row>
    <row r="634" ht="15.75" customHeight="1">
      <c r="D634" s="42"/>
      <c r="E634" s="42"/>
    </row>
    <row r="635" ht="15.75" customHeight="1">
      <c r="D635" s="42"/>
      <c r="E635" s="42"/>
    </row>
    <row r="636" ht="15.75" customHeight="1">
      <c r="D636" s="42"/>
      <c r="E636" s="42"/>
    </row>
    <row r="637" ht="15.75" customHeight="1">
      <c r="D637" s="42"/>
      <c r="E637" s="42"/>
    </row>
    <row r="638" ht="15.75" customHeight="1">
      <c r="D638" s="42"/>
      <c r="E638" s="42"/>
    </row>
    <row r="639" ht="15.75" customHeight="1">
      <c r="D639" s="42"/>
      <c r="E639" s="42"/>
    </row>
    <row r="640" ht="15.75" customHeight="1">
      <c r="D640" s="42"/>
      <c r="E640" s="42"/>
    </row>
    <row r="641" ht="15.75" customHeight="1">
      <c r="D641" s="42"/>
      <c r="E641" s="42"/>
    </row>
    <row r="642" ht="15.75" customHeight="1">
      <c r="D642" s="42"/>
      <c r="E642" s="42"/>
    </row>
    <row r="643" ht="15.75" customHeight="1">
      <c r="D643" s="42"/>
      <c r="E643" s="42"/>
    </row>
    <row r="644" ht="15.75" customHeight="1">
      <c r="D644" s="42"/>
      <c r="E644" s="42"/>
    </row>
    <row r="645" ht="15.75" customHeight="1">
      <c r="D645" s="42"/>
      <c r="E645" s="42"/>
    </row>
    <row r="646" ht="15.75" customHeight="1">
      <c r="D646" s="42"/>
      <c r="E646" s="42"/>
    </row>
    <row r="647" ht="15.75" customHeight="1">
      <c r="D647" s="42"/>
      <c r="E647" s="42"/>
    </row>
    <row r="648" ht="15.75" customHeight="1">
      <c r="D648" s="42"/>
      <c r="E648" s="42"/>
    </row>
    <row r="649" ht="15.75" customHeight="1">
      <c r="D649" s="42"/>
      <c r="E649" s="42"/>
    </row>
    <row r="650" ht="15.75" customHeight="1">
      <c r="D650" s="42"/>
      <c r="E650" s="42"/>
    </row>
    <row r="651" ht="15.75" customHeight="1">
      <c r="D651" s="42"/>
      <c r="E651" s="42"/>
    </row>
    <row r="652" ht="15.75" customHeight="1">
      <c r="D652" s="42"/>
      <c r="E652" s="42"/>
    </row>
    <row r="653" ht="15.75" customHeight="1">
      <c r="D653" s="42"/>
      <c r="E653" s="42"/>
    </row>
    <row r="654" ht="15.75" customHeight="1">
      <c r="D654" s="42"/>
      <c r="E654" s="42"/>
    </row>
    <row r="655" ht="15.75" customHeight="1">
      <c r="D655" s="42"/>
      <c r="E655" s="42"/>
    </row>
    <row r="656" ht="15.75" customHeight="1">
      <c r="D656" s="42"/>
      <c r="E656" s="42"/>
    </row>
    <row r="657" ht="15.75" customHeight="1">
      <c r="D657" s="42"/>
      <c r="E657" s="42"/>
    </row>
    <row r="658" ht="15.75" customHeight="1">
      <c r="D658" s="42"/>
      <c r="E658" s="42"/>
    </row>
    <row r="659" ht="15.75" customHeight="1">
      <c r="D659" s="42"/>
      <c r="E659" s="42"/>
    </row>
    <row r="660" ht="15.75" customHeight="1">
      <c r="D660" s="42"/>
      <c r="E660" s="42"/>
    </row>
    <row r="661" ht="15.75" customHeight="1">
      <c r="D661" s="42"/>
      <c r="E661" s="42"/>
    </row>
    <row r="662" ht="15.75" customHeight="1">
      <c r="D662" s="42"/>
      <c r="E662" s="42"/>
    </row>
    <row r="663" ht="15.75" customHeight="1">
      <c r="D663" s="42"/>
      <c r="E663" s="42"/>
    </row>
    <row r="664" ht="15.75" customHeight="1">
      <c r="D664" s="42"/>
      <c r="E664" s="42"/>
    </row>
    <row r="665" ht="15.75" customHeight="1">
      <c r="D665" s="42"/>
      <c r="E665" s="42"/>
    </row>
    <row r="666" ht="15.75" customHeight="1">
      <c r="D666" s="42"/>
      <c r="E666" s="42"/>
    </row>
    <row r="667" ht="15.75" customHeight="1">
      <c r="D667" s="42"/>
      <c r="E667" s="42"/>
    </row>
    <row r="668" ht="15.75" customHeight="1">
      <c r="D668" s="42"/>
      <c r="E668" s="42"/>
    </row>
    <row r="669" ht="15.75" customHeight="1">
      <c r="D669" s="42"/>
      <c r="E669" s="42"/>
    </row>
    <row r="670" ht="15.75" customHeight="1">
      <c r="D670" s="42"/>
      <c r="E670" s="42"/>
    </row>
    <row r="671" ht="15.75" customHeight="1">
      <c r="D671" s="42"/>
      <c r="E671" s="42"/>
    </row>
    <row r="672" ht="15.75" customHeight="1">
      <c r="D672" s="42"/>
      <c r="E672" s="42"/>
    </row>
    <row r="673" ht="15.75" customHeight="1">
      <c r="D673" s="42"/>
      <c r="E673" s="42"/>
    </row>
    <row r="674" ht="15.75" customHeight="1">
      <c r="D674" s="42"/>
      <c r="E674" s="42"/>
    </row>
    <row r="675" ht="15.75" customHeight="1">
      <c r="D675" s="42"/>
      <c r="E675" s="42"/>
    </row>
    <row r="676" ht="15.75" customHeight="1">
      <c r="D676" s="42"/>
      <c r="E676" s="42"/>
    </row>
    <row r="677" ht="15.75" customHeight="1">
      <c r="D677" s="42"/>
      <c r="E677" s="42"/>
    </row>
    <row r="678" ht="15.75" customHeight="1">
      <c r="D678" s="42"/>
      <c r="E678" s="42"/>
    </row>
    <row r="679" ht="15.75" customHeight="1">
      <c r="D679" s="42"/>
      <c r="E679" s="42"/>
    </row>
    <row r="680" ht="15.75" customHeight="1">
      <c r="D680" s="42"/>
      <c r="E680" s="42"/>
    </row>
    <row r="681" ht="15.75" customHeight="1">
      <c r="D681" s="42"/>
      <c r="E681" s="42"/>
    </row>
    <row r="682" ht="15.75" customHeight="1">
      <c r="D682" s="42"/>
      <c r="E682" s="42"/>
    </row>
    <row r="683" ht="15.75" customHeight="1">
      <c r="D683" s="42"/>
      <c r="E683" s="42"/>
    </row>
    <row r="684" ht="15.75" customHeight="1">
      <c r="D684" s="42"/>
      <c r="E684" s="42"/>
    </row>
    <row r="685" ht="15.75" customHeight="1">
      <c r="D685" s="42"/>
      <c r="E685" s="42"/>
    </row>
    <row r="686" ht="15.75" customHeight="1">
      <c r="D686" s="42"/>
      <c r="E686" s="42"/>
    </row>
    <row r="687" ht="15.75" customHeight="1">
      <c r="D687" s="42"/>
      <c r="E687" s="42"/>
    </row>
    <row r="688" ht="15.75" customHeight="1">
      <c r="D688" s="42"/>
      <c r="E688" s="42"/>
    </row>
    <row r="689" ht="15.75" customHeight="1">
      <c r="D689" s="42"/>
      <c r="E689" s="42"/>
    </row>
    <row r="690" ht="15.75" customHeight="1">
      <c r="D690" s="42"/>
      <c r="E690" s="42"/>
    </row>
    <row r="691" ht="15.75" customHeight="1">
      <c r="D691" s="42"/>
      <c r="E691" s="42"/>
    </row>
    <row r="692" ht="15.75" customHeight="1">
      <c r="D692" s="42"/>
      <c r="E692" s="42"/>
    </row>
    <row r="693" ht="15.75" customHeight="1">
      <c r="D693" s="42"/>
      <c r="E693" s="42"/>
    </row>
    <row r="694" ht="15.75" customHeight="1">
      <c r="D694" s="42"/>
      <c r="E694" s="42"/>
    </row>
    <row r="695" ht="15.75" customHeight="1">
      <c r="D695" s="42"/>
      <c r="E695" s="42"/>
    </row>
    <row r="696" ht="15.75" customHeight="1">
      <c r="D696" s="42"/>
      <c r="E696" s="42"/>
    </row>
    <row r="697" ht="15.75" customHeight="1">
      <c r="D697" s="42"/>
      <c r="E697" s="42"/>
    </row>
    <row r="698" ht="15.75" customHeight="1">
      <c r="D698" s="42"/>
      <c r="E698" s="42"/>
    </row>
    <row r="699" ht="15.75" customHeight="1">
      <c r="D699" s="42"/>
      <c r="E699" s="42"/>
    </row>
    <row r="700" ht="15.75" customHeight="1">
      <c r="D700" s="42"/>
      <c r="E700" s="42"/>
    </row>
    <row r="701" ht="15.75" customHeight="1">
      <c r="D701" s="42"/>
      <c r="E701" s="42"/>
    </row>
    <row r="702" ht="15.75" customHeight="1">
      <c r="D702" s="42"/>
      <c r="E702" s="42"/>
    </row>
    <row r="703" ht="15.75" customHeight="1">
      <c r="D703" s="42"/>
      <c r="E703" s="42"/>
    </row>
    <row r="704" ht="15.75" customHeight="1">
      <c r="D704" s="42"/>
      <c r="E704" s="42"/>
    </row>
    <row r="705" ht="15.75" customHeight="1">
      <c r="D705" s="42"/>
      <c r="E705" s="42"/>
    </row>
    <row r="706" ht="15.75" customHeight="1">
      <c r="D706" s="42"/>
      <c r="E706" s="42"/>
    </row>
    <row r="707" ht="15.75" customHeight="1">
      <c r="D707" s="42"/>
      <c r="E707" s="42"/>
    </row>
    <row r="708" ht="15.75" customHeight="1">
      <c r="D708" s="42"/>
      <c r="E708" s="42"/>
    </row>
    <row r="709" ht="15.75" customHeight="1">
      <c r="D709" s="42"/>
      <c r="E709" s="42"/>
    </row>
    <row r="710" ht="15.75" customHeight="1">
      <c r="D710" s="42"/>
      <c r="E710" s="42"/>
    </row>
    <row r="711" ht="15.75" customHeight="1">
      <c r="D711" s="42"/>
      <c r="E711" s="42"/>
    </row>
    <row r="712" ht="15.75" customHeight="1">
      <c r="D712" s="42"/>
      <c r="E712" s="42"/>
    </row>
    <row r="713" ht="15.75" customHeight="1">
      <c r="D713" s="42"/>
      <c r="E713" s="42"/>
    </row>
    <row r="714" ht="15.75" customHeight="1">
      <c r="D714" s="42"/>
      <c r="E714" s="42"/>
    </row>
    <row r="715" ht="15.75" customHeight="1">
      <c r="D715" s="42"/>
      <c r="E715" s="42"/>
    </row>
    <row r="716" ht="15.75" customHeight="1">
      <c r="D716" s="42"/>
      <c r="E716" s="42"/>
    </row>
    <row r="717" ht="15.75" customHeight="1">
      <c r="D717" s="42"/>
      <c r="E717" s="42"/>
    </row>
    <row r="718" ht="15.75" customHeight="1">
      <c r="D718" s="42"/>
      <c r="E718" s="42"/>
    </row>
    <row r="719" ht="15.75" customHeight="1">
      <c r="D719" s="42"/>
      <c r="E719" s="42"/>
    </row>
    <row r="720" ht="15.75" customHeight="1">
      <c r="D720" s="42"/>
      <c r="E720" s="42"/>
    </row>
    <row r="721" ht="15.75" customHeight="1">
      <c r="D721" s="42"/>
      <c r="E721" s="42"/>
    </row>
    <row r="722" ht="15.75" customHeight="1">
      <c r="D722" s="42"/>
      <c r="E722" s="42"/>
    </row>
    <row r="723" ht="15.75" customHeight="1">
      <c r="D723" s="42"/>
      <c r="E723" s="42"/>
    </row>
    <row r="724" ht="15.75" customHeight="1">
      <c r="D724" s="42"/>
      <c r="E724" s="42"/>
    </row>
    <row r="725" ht="15.75" customHeight="1">
      <c r="D725" s="42"/>
      <c r="E725" s="42"/>
    </row>
    <row r="726" ht="15.75" customHeight="1">
      <c r="D726" s="42"/>
      <c r="E726" s="42"/>
    </row>
    <row r="727" ht="15.75" customHeight="1">
      <c r="D727" s="42"/>
      <c r="E727" s="42"/>
    </row>
    <row r="728" ht="15.75" customHeight="1">
      <c r="D728" s="42"/>
      <c r="E728" s="42"/>
    </row>
    <row r="729" ht="15.75" customHeight="1">
      <c r="D729" s="42"/>
      <c r="E729" s="42"/>
    </row>
    <row r="730" ht="15.75" customHeight="1">
      <c r="D730" s="42"/>
      <c r="E730" s="42"/>
    </row>
    <row r="731" ht="15.75" customHeight="1">
      <c r="D731" s="42"/>
      <c r="E731" s="42"/>
    </row>
    <row r="732" ht="15.75" customHeight="1">
      <c r="D732" s="42"/>
      <c r="E732" s="42"/>
    </row>
    <row r="733" ht="15.75" customHeight="1">
      <c r="D733" s="42"/>
      <c r="E733" s="42"/>
    </row>
    <row r="734" ht="15.75" customHeight="1">
      <c r="D734" s="42"/>
      <c r="E734" s="42"/>
    </row>
    <row r="735" ht="15.75" customHeight="1">
      <c r="D735" s="42"/>
      <c r="E735" s="42"/>
    </row>
    <row r="736" ht="15.75" customHeight="1">
      <c r="D736" s="42"/>
      <c r="E736" s="42"/>
    </row>
    <row r="737" ht="15.75" customHeight="1">
      <c r="D737" s="42"/>
      <c r="E737" s="42"/>
    </row>
    <row r="738" ht="15.75" customHeight="1">
      <c r="D738" s="42"/>
      <c r="E738" s="42"/>
    </row>
    <row r="739" ht="15.75" customHeight="1">
      <c r="D739" s="42"/>
      <c r="E739" s="42"/>
    </row>
    <row r="740" ht="15.75" customHeight="1">
      <c r="D740" s="42"/>
      <c r="E740" s="42"/>
    </row>
    <row r="741" ht="15.75" customHeight="1">
      <c r="D741" s="42"/>
      <c r="E741" s="42"/>
    </row>
    <row r="742" ht="15.75" customHeight="1">
      <c r="D742" s="42"/>
      <c r="E742" s="42"/>
    </row>
    <row r="743" ht="15.75" customHeight="1">
      <c r="D743" s="42"/>
      <c r="E743" s="42"/>
    </row>
    <row r="744" ht="15.75" customHeight="1">
      <c r="D744" s="42"/>
      <c r="E744" s="42"/>
    </row>
    <row r="745" ht="15.75" customHeight="1">
      <c r="D745" s="42"/>
      <c r="E745" s="42"/>
    </row>
    <row r="746" ht="15.75" customHeight="1">
      <c r="D746" s="42"/>
      <c r="E746" s="42"/>
    </row>
    <row r="747" ht="15.75" customHeight="1">
      <c r="D747" s="42"/>
      <c r="E747" s="42"/>
    </row>
    <row r="748" ht="15.75" customHeight="1">
      <c r="D748" s="42"/>
      <c r="E748" s="42"/>
    </row>
    <row r="749" ht="15.75" customHeight="1">
      <c r="D749" s="42"/>
      <c r="E749" s="42"/>
    </row>
    <row r="750" ht="15.75" customHeight="1">
      <c r="D750" s="42"/>
      <c r="E750" s="42"/>
    </row>
    <row r="751" ht="15.75" customHeight="1">
      <c r="D751" s="42"/>
      <c r="E751" s="42"/>
    </row>
    <row r="752" ht="15.75" customHeight="1">
      <c r="D752" s="42"/>
      <c r="E752" s="42"/>
    </row>
    <row r="753" ht="15.75" customHeight="1">
      <c r="D753" s="42"/>
      <c r="E753" s="42"/>
    </row>
    <row r="754" ht="15.75" customHeight="1">
      <c r="D754" s="42"/>
      <c r="E754" s="42"/>
    </row>
    <row r="755" ht="15.75" customHeight="1">
      <c r="D755" s="42"/>
      <c r="E755" s="42"/>
    </row>
    <row r="756" ht="15.75" customHeight="1">
      <c r="D756" s="42"/>
      <c r="E756" s="42"/>
    </row>
    <row r="757" ht="15.75" customHeight="1">
      <c r="D757" s="42"/>
      <c r="E757" s="42"/>
    </row>
    <row r="758" ht="15.75" customHeight="1">
      <c r="D758" s="42"/>
      <c r="E758" s="42"/>
    </row>
    <row r="759" ht="15.75" customHeight="1">
      <c r="D759" s="42"/>
      <c r="E759" s="42"/>
    </row>
    <row r="760" ht="15.75" customHeight="1">
      <c r="D760" s="42"/>
      <c r="E760" s="42"/>
    </row>
    <row r="761" ht="15.75" customHeight="1">
      <c r="D761" s="42"/>
      <c r="E761" s="42"/>
    </row>
    <row r="762" ht="15.75" customHeight="1">
      <c r="D762" s="42"/>
      <c r="E762" s="42"/>
    </row>
    <row r="763" ht="15.75" customHeight="1">
      <c r="D763" s="42"/>
      <c r="E763" s="42"/>
    </row>
    <row r="764" ht="15.75" customHeight="1">
      <c r="D764" s="42"/>
      <c r="E764" s="42"/>
    </row>
    <row r="765" ht="15.75" customHeight="1">
      <c r="D765" s="42"/>
      <c r="E765" s="42"/>
    </row>
    <row r="766" ht="15.75" customHeight="1">
      <c r="D766" s="42"/>
      <c r="E766" s="42"/>
    </row>
    <row r="767" ht="15.75" customHeight="1">
      <c r="D767" s="42"/>
      <c r="E767" s="42"/>
    </row>
    <row r="768" ht="15.75" customHeight="1">
      <c r="D768" s="42"/>
      <c r="E768" s="42"/>
    </row>
    <row r="769" ht="15.75" customHeight="1">
      <c r="D769" s="42"/>
      <c r="E769" s="42"/>
    </row>
    <row r="770" ht="15.75" customHeight="1">
      <c r="D770" s="42"/>
      <c r="E770" s="42"/>
    </row>
    <row r="771" ht="15.75" customHeight="1">
      <c r="D771" s="42"/>
      <c r="E771" s="42"/>
    </row>
    <row r="772" ht="15.75" customHeight="1">
      <c r="D772" s="42"/>
      <c r="E772" s="42"/>
    </row>
    <row r="773" ht="15.75" customHeight="1">
      <c r="D773" s="42"/>
      <c r="E773" s="42"/>
    </row>
    <row r="774" ht="15.75" customHeight="1">
      <c r="D774" s="42"/>
      <c r="E774" s="42"/>
    </row>
    <row r="775" ht="15.75" customHeight="1">
      <c r="D775" s="42"/>
      <c r="E775" s="42"/>
    </row>
    <row r="776" ht="15.75" customHeight="1">
      <c r="D776" s="42"/>
      <c r="E776" s="42"/>
    </row>
    <row r="777" ht="15.75" customHeight="1">
      <c r="D777" s="42"/>
      <c r="E777" s="42"/>
    </row>
    <row r="778" ht="15.75" customHeight="1">
      <c r="D778" s="42"/>
      <c r="E778" s="42"/>
    </row>
    <row r="779" ht="15.75" customHeight="1">
      <c r="D779" s="42"/>
      <c r="E779" s="42"/>
    </row>
    <row r="780" ht="15.75" customHeight="1">
      <c r="D780" s="42"/>
      <c r="E780" s="42"/>
    </row>
    <row r="781" ht="15.75" customHeight="1">
      <c r="D781" s="42"/>
      <c r="E781" s="42"/>
    </row>
    <row r="782" ht="15.75" customHeight="1">
      <c r="D782" s="42"/>
      <c r="E782" s="42"/>
    </row>
    <row r="783" ht="15.75" customHeight="1">
      <c r="D783" s="42"/>
      <c r="E783" s="42"/>
    </row>
    <row r="784" ht="15.75" customHeight="1">
      <c r="D784" s="42"/>
      <c r="E784" s="42"/>
    </row>
    <row r="785" ht="15.75" customHeight="1">
      <c r="D785" s="42"/>
      <c r="E785" s="42"/>
    </row>
    <row r="786" ht="15.75" customHeight="1">
      <c r="D786" s="42"/>
      <c r="E786" s="42"/>
    </row>
    <row r="787" ht="15.75" customHeight="1">
      <c r="D787" s="42"/>
      <c r="E787" s="42"/>
    </row>
    <row r="788" ht="15.75" customHeight="1">
      <c r="D788" s="42"/>
      <c r="E788" s="42"/>
    </row>
    <row r="789" ht="15.75" customHeight="1">
      <c r="D789" s="42"/>
      <c r="E789" s="42"/>
    </row>
    <row r="790" ht="15.75" customHeight="1">
      <c r="D790" s="42"/>
      <c r="E790" s="42"/>
    </row>
    <row r="791" ht="15.75" customHeight="1">
      <c r="D791" s="42"/>
      <c r="E791" s="42"/>
    </row>
    <row r="792" ht="15.75" customHeight="1">
      <c r="D792" s="42"/>
      <c r="E792" s="42"/>
    </row>
    <row r="793" ht="15.75" customHeight="1">
      <c r="D793" s="42"/>
      <c r="E793" s="42"/>
    </row>
    <row r="794" ht="15.75" customHeight="1">
      <c r="D794" s="42"/>
      <c r="E794" s="42"/>
    </row>
    <row r="795" ht="15.75" customHeight="1">
      <c r="D795" s="42"/>
      <c r="E795" s="42"/>
    </row>
    <row r="796" ht="15.75" customHeight="1">
      <c r="D796" s="42"/>
      <c r="E796" s="42"/>
    </row>
    <row r="797" ht="15.75" customHeight="1">
      <c r="D797" s="42"/>
      <c r="E797" s="42"/>
    </row>
    <row r="798" ht="15.75" customHeight="1">
      <c r="D798" s="42"/>
      <c r="E798" s="42"/>
    </row>
    <row r="799" ht="15.75" customHeight="1">
      <c r="D799" s="42"/>
      <c r="E799" s="42"/>
    </row>
    <row r="800" ht="15.75" customHeight="1">
      <c r="D800" s="42"/>
      <c r="E800" s="42"/>
    </row>
    <row r="801" ht="15.75" customHeight="1">
      <c r="D801" s="42"/>
      <c r="E801" s="42"/>
    </row>
    <row r="802" ht="15.75" customHeight="1">
      <c r="D802" s="42"/>
      <c r="E802" s="42"/>
    </row>
    <row r="803" ht="15.75" customHeight="1">
      <c r="D803" s="42"/>
      <c r="E803" s="42"/>
    </row>
    <row r="804" ht="15.75" customHeight="1">
      <c r="D804" s="42"/>
      <c r="E804" s="42"/>
    </row>
    <row r="805" ht="15.75" customHeight="1">
      <c r="D805" s="42"/>
      <c r="E805" s="42"/>
    </row>
    <row r="806" ht="15.75" customHeight="1">
      <c r="D806" s="42"/>
      <c r="E806" s="42"/>
    </row>
    <row r="807" ht="15.75" customHeight="1">
      <c r="D807" s="42"/>
      <c r="E807" s="42"/>
    </row>
    <row r="808" ht="15.75" customHeight="1">
      <c r="D808" s="42"/>
      <c r="E808" s="42"/>
    </row>
    <row r="809" ht="15.75" customHeight="1">
      <c r="D809" s="42"/>
      <c r="E809" s="42"/>
    </row>
    <row r="810" ht="15.75" customHeight="1">
      <c r="D810" s="42"/>
      <c r="E810" s="42"/>
    </row>
    <row r="811" ht="15.75" customHeight="1">
      <c r="D811" s="42"/>
      <c r="E811" s="42"/>
    </row>
    <row r="812" ht="15.75" customHeight="1">
      <c r="D812" s="42"/>
      <c r="E812" s="42"/>
    </row>
    <row r="813" ht="15.75" customHeight="1">
      <c r="D813" s="42"/>
      <c r="E813" s="42"/>
    </row>
    <row r="814" ht="15.75" customHeight="1">
      <c r="D814" s="42"/>
      <c r="E814" s="42"/>
    </row>
    <row r="815" ht="15.75" customHeight="1">
      <c r="D815" s="42"/>
      <c r="E815" s="42"/>
    </row>
    <row r="816" ht="15.75" customHeight="1">
      <c r="D816" s="42"/>
      <c r="E816" s="42"/>
    </row>
    <row r="817" ht="15.75" customHeight="1">
      <c r="D817" s="42"/>
      <c r="E817" s="42"/>
    </row>
    <row r="818" ht="15.75" customHeight="1">
      <c r="D818" s="42"/>
      <c r="E818" s="42"/>
    </row>
    <row r="819" ht="15.75" customHeight="1">
      <c r="D819" s="42"/>
      <c r="E819" s="42"/>
    </row>
    <row r="820" ht="15.75" customHeight="1">
      <c r="D820" s="42"/>
      <c r="E820" s="42"/>
    </row>
    <row r="821" ht="15.75" customHeight="1">
      <c r="D821" s="42"/>
      <c r="E821" s="42"/>
    </row>
    <row r="822" ht="15.75" customHeight="1">
      <c r="D822" s="42"/>
      <c r="E822" s="42"/>
    </row>
    <row r="823" ht="15.75" customHeight="1">
      <c r="D823" s="42"/>
      <c r="E823" s="42"/>
    </row>
    <row r="824" ht="15.75" customHeight="1">
      <c r="D824" s="42"/>
      <c r="E824" s="42"/>
    </row>
    <row r="825" ht="15.75" customHeight="1">
      <c r="D825" s="42"/>
      <c r="E825" s="42"/>
    </row>
    <row r="826" ht="15.75" customHeight="1">
      <c r="D826" s="42"/>
      <c r="E826" s="42"/>
    </row>
    <row r="827" ht="15.75" customHeight="1">
      <c r="D827" s="42"/>
      <c r="E827" s="42"/>
    </row>
    <row r="828" ht="15.75" customHeight="1">
      <c r="D828" s="42"/>
      <c r="E828" s="42"/>
    </row>
    <row r="829" ht="15.75" customHeight="1">
      <c r="D829" s="42"/>
      <c r="E829" s="42"/>
    </row>
    <row r="830" ht="15.75" customHeight="1">
      <c r="D830" s="42"/>
      <c r="E830" s="42"/>
    </row>
    <row r="831" ht="15.75" customHeight="1">
      <c r="D831" s="42"/>
      <c r="E831" s="42"/>
    </row>
    <row r="832" ht="15.75" customHeight="1">
      <c r="D832" s="42"/>
      <c r="E832" s="42"/>
    </row>
    <row r="833" ht="15.75" customHeight="1">
      <c r="D833" s="42"/>
      <c r="E833" s="42"/>
    </row>
    <row r="834" ht="15.75" customHeight="1">
      <c r="D834" s="42"/>
      <c r="E834" s="42"/>
    </row>
    <row r="835" ht="15.75" customHeight="1">
      <c r="D835" s="42"/>
      <c r="E835" s="42"/>
    </row>
    <row r="836" ht="15.75" customHeight="1">
      <c r="D836" s="42"/>
      <c r="E836" s="42"/>
    </row>
    <row r="837" ht="15.75" customHeight="1">
      <c r="D837" s="42"/>
      <c r="E837" s="42"/>
    </row>
    <row r="838" ht="15.75" customHeight="1">
      <c r="D838" s="42"/>
      <c r="E838" s="42"/>
    </row>
    <row r="839" ht="15.75" customHeight="1">
      <c r="D839" s="42"/>
      <c r="E839" s="42"/>
    </row>
    <row r="840" ht="15.75" customHeight="1">
      <c r="D840" s="42"/>
      <c r="E840" s="42"/>
    </row>
    <row r="841" ht="15.75" customHeight="1">
      <c r="D841" s="42"/>
      <c r="E841" s="42"/>
    </row>
    <row r="842" ht="15.75" customHeight="1">
      <c r="D842" s="42"/>
      <c r="E842" s="42"/>
    </row>
    <row r="843" ht="15.75" customHeight="1">
      <c r="D843" s="42"/>
      <c r="E843" s="42"/>
    </row>
    <row r="844" ht="15.75" customHeight="1">
      <c r="D844" s="42"/>
      <c r="E844" s="42"/>
    </row>
    <row r="845" ht="15.75" customHeight="1">
      <c r="D845" s="42"/>
      <c r="E845" s="42"/>
    </row>
    <row r="846" ht="15.75" customHeight="1">
      <c r="D846" s="42"/>
      <c r="E846" s="42"/>
    </row>
    <row r="847" ht="15.75" customHeight="1">
      <c r="D847" s="42"/>
      <c r="E847" s="42"/>
    </row>
    <row r="848" ht="15.75" customHeight="1">
      <c r="D848" s="42"/>
      <c r="E848" s="42"/>
    </row>
    <row r="849" ht="15.75" customHeight="1">
      <c r="D849" s="42"/>
      <c r="E849" s="42"/>
    </row>
    <row r="850" ht="15.75" customHeight="1">
      <c r="D850" s="42"/>
      <c r="E850" s="42"/>
    </row>
    <row r="851" ht="15.75" customHeight="1">
      <c r="D851" s="42"/>
      <c r="E851" s="42"/>
    </row>
    <row r="852" ht="15.75" customHeight="1">
      <c r="D852" s="42"/>
      <c r="E852" s="42"/>
    </row>
    <row r="853" ht="15.75" customHeight="1">
      <c r="D853" s="42"/>
      <c r="E853" s="42"/>
    </row>
    <row r="854" ht="15.75" customHeight="1">
      <c r="D854" s="42"/>
      <c r="E854" s="42"/>
    </row>
    <row r="855" ht="15.75" customHeight="1">
      <c r="D855" s="42"/>
      <c r="E855" s="42"/>
    </row>
    <row r="856" ht="15.75" customHeight="1">
      <c r="D856" s="42"/>
      <c r="E856" s="42"/>
    </row>
    <row r="857" ht="15.75" customHeight="1">
      <c r="D857" s="42"/>
      <c r="E857" s="42"/>
    </row>
    <row r="858" ht="15.75" customHeight="1">
      <c r="D858" s="42"/>
      <c r="E858" s="42"/>
    </row>
    <row r="859" ht="15.75" customHeight="1">
      <c r="D859" s="42"/>
      <c r="E859" s="42"/>
    </row>
    <row r="860" ht="15.75" customHeight="1">
      <c r="D860" s="42"/>
      <c r="E860" s="42"/>
    </row>
    <row r="861" ht="15.75" customHeight="1">
      <c r="D861" s="42"/>
      <c r="E861" s="42"/>
    </row>
    <row r="862" ht="15.75" customHeight="1">
      <c r="D862" s="42"/>
      <c r="E862" s="42"/>
    </row>
    <row r="863" ht="15.75" customHeight="1">
      <c r="D863" s="42"/>
      <c r="E863" s="42"/>
    </row>
    <row r="864" ht="15.75" customHeight="1">
      <c r="D864" s="42"/>
      <c r="E864" s="42"/>
    </row>
    <row r="865" ht="15.75" customHeight="1">
      <c r="D865" s="42"/>
      <c r="E865" s="42"/>
    </row>
    <row r="866" ht="15.75" customHeight="1">
      <c r="D866" s="42"/>
      <c r="E866" s="42"/>
    </row>
    <row r="867" ht="15.75" customHeight="1">
      <c r="D867" s="42"/>
      <c r="E867" s="42"/>
    </row>
    <row r="868" ht="15.75" customHeight="1">
      <c r="D868" s="42"/>
      <c r="E868" s="42"/>
    </row>
    <row r="869" ht="15.75" customHeight="1">
      <c r="D869" s="42"/>
      <c r="E869" s="42"/>
    </row>
    <row r="870" ht="15.75" customHeight="1">
      <c r="D870" s="42"/>
      <c r="E870" s="42"/>
    </row>
    <row r="871" ht="15.75" customHeight="1">
      <c r="D871" s="42"/>
      <c r="E871" s="42"/>
    </row>
    <row r="872" ht="15.75" customHeight="1">
      <c r="D872" s="42"/>
      <c r="E872" s="42"/>
    </row>
    <row r="873" ht="15.75" customHeight="1">
      <c r="D873" s="42"/>
      <c r="E873" s="42"/>
    </row>
    <row r="874" ht="15.75" customHeight="1">
      <c r="D874" s="42"/>
      <c r="E874" s="42"/>
    </row>
    <row r="875" ht="15.75" customHeight="1">
      <c r="D875" s="42"/>
      <c r="E875" s="42"/>
    </row>
    <row r="876" ht="15.75" customHeight="1">
      <c r="D876" s="42"/>
      <c r="E876" s="42"/>
    </row>
    <row r="877" ht="15.75" customHeight="1">
      <c r="D877" s="42"/>
      <c r="E877" s="42"/>
    </row>
    <row r="878" ht="15.75" customHeight="1">
      <c r="D878" s="42"/>
      <c r="E878" s="42"/>
    </row>
    <row r="879" ht="15.75" customHeight="1">
      <c r="D879" s="42"/>
      <c r="E879" s="42"/>
    </row>
    <row r="880" ht="15.75" customHeight="1">
      <c r="D880" s="42"/>
      <c r="E880" s="42"/>
    </row>
    <row r="881" ht="15.75" customHeight="1">
      <c r="D881" s="42"/>
      <c r="E881" s="42"/>
    </row>
    <row r="882" ht="15.75" customHeight="1">
      <c r="D882" s="42"/>
      <c r="E882" s="42"/>
    </row>
    <row r="883" ht="15.75" customHeight="1">
      <c r="D883" s="42"/>
      <c r="E883" s="42"/>
    </row>
    <row r="884" ht="15.75" customHeight="1">
      <c r="D884" s="42"/>
      <c r="E884" s="42"/>
    </row>
    <row r="885" ht="15.75" customHeight="1">
      <c r="D885" s="42"/>
      <c r="E885" s="42"/>
    </row>
    <row r="886" ht="15.75" customHeight="1">
      <c r="D886" s="42"/>
      <c r="E886" s="42"/>
    </row>
    <row r="887" ht="15.75" customHeight="1">
      <c r="D887" s="42"/>
      <c r="E887" s="42"/>
    </row>
    <row r="888" ht="15.75" customHeight="1">
      <c r="D888" s="42"/>
      <c r="E888" s="42"/>
    </row>
    <row r="889" ht="15.75" customHeight="1">
      <c r="D889" s="42"/>
      <c r="E889" s="42"/>
    </row>
    <row r="890" ht="15.75" customHeight="1">
      <c r="D890" s="42"/>
      <c r="E890" s="42"/>
    </row>
    <row r="891" ht="15.75" customHeight="1">
      <c r="D891" s="42"/>
      <c r="E891" s="42"/>
    </row>
    <row r="892" ht="15.75" customHeight="1">
      <c r="D892" s="42"/>
      <c r="E892" s="42"/>
    </row>
    <row r="893" ht="15.75" customHeight="1">
      <c r="D893" s="42"/>
      <c r="E893" s="42"/>
    </row>
    <row r="894" ht="15.75" customHeight="1">
      <c r="D894" s="42"/>
      <c r="E894" s="42"/>
    </row>
    <row r="895" ht="15.75" customHeight="1">
      <c r="D895" s="42"/>
      <c r="E895" s="42"/>
    </row>
    <row r="896" ht="15.75" customHeight="1">
      <c r="D896" s="42"/>
      <c r="E896" s="42"/>
    </row>
    <row r="897" ht="15.75" customHeight="1">
      <c r="D897" s="42"/>
      <c r="E897" s="42"/>
    </row>
    <row r="898" ht="15.75" customHeight="1">
      <c r="D898" s="42"/>
      <c r="E898" s="42"/>
    </row>
    <row r="899" ht="15.75" customHeight="1">
      <c r="D899" s="42"/>
      <c r="E899" s="42"/>
    </row>
    <row r="900" ht="15.75" customHeight="1">
      <c r="D900" s="42"/>
      <c r="E900" s="42"/>
    </row>
    <row r="901" ht="15.75" customHeight="1">
      <c r="D901" s="42"/>
      <c r="E901" s="42"/>
    </row>
    <row r="902" ht="15.75" customHeight="1">
      <c r="D902" s="42"/>
      <c r="E902" s="42"/>
    </row>
    <row r="903" ht="15.75" customHeight="1">
      <c r="D903" s="42"/>
      <c r="E903" s="42"/>
    </row>
    <row r="904" ht="15.75" customHeight="1">
      <c r="D904" s="42"/>
      <c r="E904" s="42"/>
    </row>
    <row r="905" ht="15.75" customHeight="1">
      <c r="D905" s="42"/>
      <c r="E905" s="42"/>
    </row>
    <row r="906" ht="15.75" customHeight="1">
      <c r="D906" s="42"/>
      <c r="E906" s="42"/>
    </row>
    <row r="907" ht="15.75" customHeight="1">
      <c r="D907" s="42"/>
      <c r="E907" s="42"/>
    </row>
    <row r="908" ht="15.75" customHeight="1">
      <c r="D908" s="42"/>
      <c r="E908" s="42"/>
    </row>
    <row r="909" ht="15.75" customHeight="1">
      <c r="D909" s="42"/>
      <c r="E909" s="42"/>
    </row>
    <row r="910" ht="15.75" customHeight="1">
      <c r="D910" s="42"/>
      <c r="E910" s="42"/>
    </row>
    <row r="911" ht="15.75" customHeight="1">
      <c r="D911" s="42"/>
      <c r="E911" s="42"/>
    </row>
    <row r="912" ht="15.75" customHeight="1">
      <c r="D912" s="42"/>
      <c r="E912" s="42"/>
    </row>
    <row r="913" ht="15.75" customHeight="1">
      <c r="D913" s="42"/>
      <c r="E913" s="42"/>
    </row>
    <row r="914" ht="15.75" customHeight="1">
      <c r="D914" s="42"/>
      <c r="E914" s="42"/>
    </row>
    <row r="915" ht="15.75" customHeight="1">
      <c r="D915" s="42"/>
      <c r="E915" s="42"/>
    </row>
    <row r="916" ht="15.75" customHeight="1">
      <c r="D916" s="42"/>
      <c r="E916" s="42"/>
    </row>
    <row r="917" ht="15.75" customHeight="1">
      <c r="D917" s="42"/>
      <c r="E917" s="42"/>
    </row>
    <row r="918" ht="15.75" customHeight="1">
      <c r="D918" s="42"/>
      <c r="E918" s="42"/>
    </row>
    <row r="919" ht="15.75" customHeight="1">
      <c r="D919" s="42"/>
      <c r="E919" s="42"/>
    </row>
    <row r="920" ht="15.75" customHeight="1">
      <c r="D920" s="42"/>
      <c r="E920" s="42"/>
    </row>
    <row r="921" ht="15.75" customHeight="1">
      <c r="D921" s="42"/>
      <c r="E921" s="42"/>
    </row>
    <row r="922" ht="15.75" customHeight="1">
      <c r="D922" s="42"/>
      <c r="E922" s="42"/>
    </row>
    <row r="923" ht="15.75" customHeight="1">
      <c r="D923" s="42"/>
      <c r="E923" s="42"/>
    </row>
    <row r="924" ht="15.75" customHeight="1">
      <c r="D924" s="42"/>
      <c r="E924" s="42"/>
    </row>
    <row r="925" ht="15.75" customHeight="1">
      <c r="D925" s="42"/>
      <c r="E925" s="42"/>
    </row>
    <row r="926" ht="15.75" customHeight="1">
      <c r="D926" s="42"/>
      <c r="E926" s="42"/>
    </row>
    <row r="927" ht="15.75" customHeight="1">
      <c r="D927" s="42"/>
      <c r="E927" s="42"/>
    </row>
    <row r="928" ht="15.75" customHeight="1">
      <c r="D928" s="42"/>
      <c r="E928" s="42"/>
    </row>
    <row r="929" ht="15.75" customHeight="1">
      <c r="D929" s="42"/>
      <c r="E929" s="42"/>
    </row>
    <row r="930" ht="15.75" customHeight="1">
      <c r="D930" s="42"/>
      <c r="E930" s="42"/>
    </row>
    <row r="931" ht="15.75" customHeight="1">
      <c r="D931" s="42"/>
      <c r="E931" s="42"/>
    </row>
    <row r="932" ht="15.75" customHeight="1">
      <c r="D932" s="42"/>
      <c r="E932" s="42"/>
    </row>
    <row r="933" ht="15.75" customHeight="1">
      <c r="D933" s="42"/>
      <c r="E933" s="42"/>
    </row>
    <row r="934" ht="15.75" customHeight="1">
      <c r="D934" s="42"/>
      <c r="E934" s="42"/>
    </row>
    <row r="935" ht="15.75" customHeight="1">
      <c r="D935" s="42"/>
      <c r="E935" s="42"/>
    </row>
    <row r="936" ht="15.75" customHeight="1">
      <c r="D936" s="42"/>
      <c r="E936" s="42"/>
    </row>
    <row r="937" ht="15.75" customHeight="1">
      <c r="D937" s="42"/>
      <c r="E937" s="42"/>
    </row>
    <row r="938" ht="15.75" customHeight="1">
      <c r="D938" s="42"/>
      <c r="E938" s="42"/>
    </row>
    <row r="939" ht="15.75" customHeight="1">
      <c r="D939" s="42"/>
      <c r="E939" s="42"/>
    </row>
    <row r="940" ht="15.75" customHeight="1">
      <c r="D940" s="42"/>
      <c r="E940" s="42"/>
    </row>
    <row r="941" ht="15.75" customHeight="1">
      <c r="D941" s="42"/>
      <c r="E941" s="42"/>
    </row>
    <row r="942" ht="15.75" customHeight="1">
      <c r="D942" s="42"/>
      <c r="E942" s="42"/>
    </row>
    <row r="943" ht="15.75" customHeight="1">
      <c r="D943" s="42"/>
      <c r="E943" s="42"/>
    </row>
    <row r="944" ht="15.75" customHeight="1">
      <c r="D944" s="42"/>
      <c r="E944" s="42"/>
    </row>
    <row r="945" ht="15.75" customHeight="1">
      <c r="D945" s="42"/>
      <c r="E945" s="42"/>
    </row>
    <row r="946" ht="15.75" customHeight="1">
      <c r="D946" s="42"/>
      <c r="E946" s="42"/>
    </row>
    <row r="947" ht="15.75" customHeight="1">
      <c r="D947" s="42"/>
      <c r="E947" s="42"/>
    </row>
    <row r="948" ht="15.75" customHeight="1">
      <c r="D948" s="42"/>
      <c r="E948" s="42"/>
    </row>
    <row r="949" ht="15.75" customHeight="1">
      <c r="D949" s="42"/>
      <c r="E949" s="42"/>
    </row>
    <row r="950" ht="15.75" customHeight="1">
      <c r="D950" s="42"/>
      <c r="E950" s="42"/>
    </row>
    <row r="951" ht="15.75" customHeight="1">
      <c r="D951" s="42"/>
      <c r="E951" s="42"/>
    </row>
    <row r="952" ht="15.75" customHeight="1">
      <c r="D952" s="42"/>
      <c r="E952" s="42"/>
    </row>
    <row r="953" ht="15.75" customHeight="1">
      <c r="D953" s="42"/>
      <c r="E953" s="42"/>
    </row>
    <row r="954" ht="15.75" customHeight="1">
      <c r="D954" s="42"/>
      <c r="E954" s="42"/>
    </row>
    <row r="955" ht="15.75" customHeight="1">
      <c r="D955" s="42"/>
      <c r="E955" s="42"/>
    </row>
    <row r="956" ht="15.75" customHeight="1">
      <c r="D956" s="42"/>
      <c r="E956" s="42"/>
    </row>
    <row r="957" ht="15.75" customHeight="1">
      <c r="D957" s="42"/>
      <c r="E957" s="42"/>
    </row>
    <row r="958" ht="15.75" customHeight="1">
      <c r="D958" s="42"/>
      <c r="E958" s="42"/>
    </row>
    <row r="959" ht="15.75" customHeight="1">
      <c r="D959" s="42"/>
      <c r="E959" s="42"/>
    </row>
    <row r="960" ht="15.75" customHeight="1">
      <c r="D960" s="42"/>
      <c r="E960" s="42"/>
    </row>
    <row r="961" ht="15.75" customHeight="1">
      <c r="D961" s="42"/>
      <c r="E961" s="42"/>
    </row>
    <row r="962" ht="15.75" customHeight="1">
      <c r="D962" s="42"/>
      <c r="E962" s="42"/>
    </row>
    <row r="963" ht="15.75" customHeight="1">
      <c r="D963" s="42"/>
      <c r="E963" s="42"/>
    </row>
    <row r="964" ht="15.75" customHeight="1">
      <c r="D964" s="42"/>
      <c r="E964" s="42"/>
    </row>
    <row r="965" ht="15.75" customHeight="1">
      <c r="D965" s="42"/>
      <c r="E965" s="42"/>
    </row>
    <row r="966" ht="15.75" customHeight="1">
      <c r="D966" s="42"/>
      <c r="E966" s="42"/>
    </row>
    <row r="967" ht="15.75" customHeight="1">
      <c r="D967" s="42"/>
      <c r="E967" s="42"/>
    </row>
    <row r="968" ht="15.75" customHeight="1">
      <c r="D968" s="42"/>
      <c r="E968" s="42"/>
    </row>
    <row r="969" ht="15.75" customHeight="1">
      <c r="D969" s="42"/>
      <c r="E969" s="42"/>
    </row>
    <row r="970" ht="15.75" customHeight="1">
      <c r="D970" s="42"/>
      <c r="E970" s="42"/>
    </row>
    <row r="971" ht="15.75" customHeight="1">
      <c r="D971" s="42"/>
      <c r="E971" s="42"/>
    </row>
    <row r="972" ht="15.75" customHeight="1">
      <c r="D972" s="42"/>
      <c r="E972" s="42"/>
    </row>
    <row r="973" ht="15.75" customHeight="1">
      <c r="D973" s="42"/>
      <c r="E973" s="42"/>
    </row>
    <row r="974" ht="15.75" customHeight="1">
      <c r="D974" s="42"/>
      <c r="E974" s="42"/>
    </row>
    <row r="975" ht="15.75" customHeight="1">
      <c r="D975" s="42"/>
      <c r="E975" s="42"/>
    </row>
    <row r="976" ht="15.75" customHeight="1">
      <c r="D976" s="42"/>
      <c r="E976" s="42"/>
    </row>
    <row r="977" ht="15.75" customHeight="1">
      <c r="D977" s="42"/>
      <c r="E977" s="42"/>
    </row>
    <row r="978" ht="15.75" customHeight="1">
      <c r="D978" s="42"/>
      <c r="E978" s="42"/>
    </row>
    <row r="979" ht="15.75" customHeight="1">
      <c r="D979" s="42"/>
      <c r="E979" s="42"/>
    </row>
    <row r="980" ht="15.75" customHeight="1">
      <c r="D980" s="42"/>
      <c r="E980" s="42"/>
    </row>
    <row r="981" ht="15.75" customHeight="1">
      <c r="D981" s="42"/>
      <c r="E981" s="42"/>
    </row>
    <row r="982" ht="15.75" customHeight="1">
      <c r="D982" s="42"/>
      <c r="E982" s="42"/>
    </row>
    <row r="983" ht="15.75" customHeight="1">
      <c r="D983" s="42"/>
      <c r="E983" s="42"/>
    </row>
    <row r="984" ht="15.75" customHeight="1">
      <c r="D984" s="42"/>
      <c r="E984" s="42"/>
    </row>
    <row r="985" ht="15.75" customHeight="1">
      <c r="D985" s="42"/>
      <c r="E985" s="42"/>
    </row>
    <row r="986" ht="15.75" customHeight="1">
      <c r="D986" s="42"/>
      <c r="E986" s="42"/>
    </row>
    <row r="987" ht="15.75" customHeight="1">
      <c r="D987" s="42"/>
      <c r="E987" s="42"/>
    </row>
    <row r="988" ht="15.75" customHeight="1">
      <c r="D988" s="42"/>
      <c r="E988" s="42"/>
    </row>
    <row r="989" ht="15.75" customHeight="1">
      <c r="D989" s="42"/>
      <c r="E989" s="42"/>
    </row>
    <row r="990" ht="15.75" customHeight="1">
      <c r="D990" s="42"/>
      <c r="E990" s="42"/>
    </row>
    <row r="991" ht="15.75" customHeight="1">
      <c r="D991" s="42"/>
      <c r="E991" s="42"/>
    </row>
    <row r="992" ht="15.75" customHeight="1">
      <c r="D992" s="42"/>
      <c r="E992" s="42"/>
    </row>
    <row r="993" ht="15.75" customHeight="1">
      <c r="D993" s="42"/>
      <c r="E993" s="42"/>
    </row>
    <row r="994" ht="15.75" customHeight="1">
      <c r="D994" s="42"/>
      <c r="E994" s="42"/>
    </row>
    <row r="995" ht="15.75" customHeight="1">
      <c r="D995" s="42"/>
      <c r="E995" s="42"/>
    </row>
    <row r="996" ht="15.75" customHeight="1">
      <c r="D996" s="42"/>
      <c r="E996" s="42"/>
    </row>
    <row r="997" ht="15.75" customHeight="1">
      <c r="D997" s="42"/>
      <c r="E997" s="42"/>
    </row>
    <row r="998" ht="15.75" customHeight="1">
      <c r="D998" s="42"/>
      <c r="E998" s="42"/>
    </row>
    <row r="999" ht="15.75" customHeight="1">
      <c r="D999" s="42"/>
      <c r="E999" s="42"/>
    </row>
    <row r="1000" ht="15.75" customHeight="1">
      <c r="D1000" s="42"/>
      <c r="E1000" s="42"/>
    </row>
  </sheetData>
  <mergeCells count="12">
    <mergeCell ref="O6:R6"/>
    <mergeCell ref="S6:V6"/>
    <mergeCell ref="A23:C23"/>
    <mergeCell ref="A24:C24"/>
    <mergeCell ref="A1:AA2"/>
    <mergeCell ref="A3:AA4"/>
    <mergeCell ref="A5:AA5"/>
    <mergeCell ref="A6:A7"/>
    <mergeCell ref="E6:E7"/>
    <mergeCell ref="F6:I6"/>
    <mergeCell ref="J6:M6"/>
    <mergeCell ref="W6:AA6"/>
  </mergeCells>
  <printOptions/>
  <pageMargins bottom="0.2" footer="0.0" header="0.0" left="0.2" right="0.2" top="0.2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2.57"/>
    <col customWidth="1" min="3" max="3" width="9.86"/>
    <col customWidth="1" min="4" max="4" width="11.43"/>
    <col customWidth="1" min="5" max="5" width="13.29"/>
    <col customWidth="1" min="6" max="6" width="14.43"/>
    <col customWidth="1" hidden="1" min="7" max="7" width="11.71"/>
    <col customWidth="1" min="8" max="9" width="10.29"/>
    <col customWidth="1" min="10" max="10" width="12.29"/>
    <col customWidth="1" hidden="1" min="11" max="11" width="12.29"/>
    <col customWidth="1" min="12" max="12" width="11.0"/>
    <col customWidth="1" min="13" max="13" width="0.29"/>
    <col customWidth="1" min="14" max="14" width="10.29"/>
    <col customWidth="1" min="15" max="15" width="13.43"/>
    <col customWidth="1" hidden="1" min="16" max="16" width="14.29"/>
    <col customWidth="1" min="17" max="17" width="11.0"/>
    <col customWidth="1" min="18" max="18" width="8.43"/>
    <col customWidth="1" min="19" max="19" width="13.29"/>
    <col customWidth="1" hidden="1" min="20" max="20" width="13.43"/>
    <col customWidth="1" min="21" max="21" width="11.29"/>
    <col customWidth="1" min="22" max="22" width="10.29"/>
    <col customWidth="1" min="23" max="23" width="15.0"/>
    <col customWidth="1" hidden="1" min="24" max="24" width="2.29"/>
    <col customWidth="1" min="25" max="25" width="13.0"/>
    <col customWidth="1" min="26" max="26" width="0.14"/>
    <col customWidth="1" min="27" max="27" width="8.14"/>
    <col customWidth="1" min="28" max="28" width="11.57"/>
  </cols>
  <sheetData>
    <row r="1">
      <c r="A1" s="1" t="s">
        <v>0</v>
      </c>
    </row>
    <row r="3">
      <c r="A3" s="2" t="s">
        <v>46</v>
      </c>
    </row>
    <row r="5">
      <c r="A5" s="3" t="s">
        <v>47</v>
      </c>
    </row>
    <row r="6">
      <c r="A6" s="4" t="s">
        <v>3</v>
      </c>
      <c r="B6" s="5" t="s">
        <v>4</v>
      </c>
      <c r="C6" s="5" t="s">
        <v>5</v>
      </c>
      <c r="D6" s="5" t="s">
        <v>6</v>
      </c>
      <c r="E6" s="4" t="s">
        <v>7</v>
      </c>
      <c r="F6" s="6" t="s">
        <v>8</v>
      </c>
      <c r="G6" s="7"/>
      <c r="H6" s="7"/>
      <c r="I6" s="8"/>
      <c r="J6" s="6" t="s">
        <v>9</v>
      </c>
      <c r="K6" s="7"/>
      <c r="L6" s="7"/>
      <c r="M6" s="7"/>
      <c r="N6" s="8"/>
      <c r="O6" s="6" t="s">
        <v>10</v>
      </c>
      <c r="P6" s="7"/>
      <c r="Q6" s="7"/>
      <c r="R6" s="8"/>
      <c r="S6" s="6" t="s">
        <v>11</v>
      </c>
      <c r="T6" s="7"/>
      <c r="U6" s="7"/>
      <c r="V6" s="8"/>
      <c r="W6" s="6" t="s">
        <v>12</v>
      </c>
      <c r="X6" s="7"/>
      <c r="Y6" s="7"/>
      <c r="Z6" s="7"/>
      <c r="AA6" s="8"/>
    </row>
    <row r="7">
      <c r="A7" s="9"/>
      <c r="B7" s="10"/>
      <c r="C7" s="10"/>
      <c r="D7" s="10"/>
      <c r="E7" s="11"/>
      <c r="F7" s="12" t="s">
        <v>13</v>
      </c>
      <c r="G7" s="12"/>
      <c r="H7" s="12" t="s">
        <v>14</v>
      </c>
      <c r="I7" s="12" t="s">
        <v>15</v>
      </c>
      <c r="J7" s="12" t="s">
        <v>13</v>
      </c>
      <c r="K7" s="12"/>
      <c r="L7" s="12" t="s">
        <v>14</v>
      </c>
      <c r="M7" s="12"/>
      <c r="N7" s="12" t="s">
        <v>15</v>
      </c>
      <c r="O7" s="12" t="s">
        <v>13</v>
      </c>
      <c r="P7" s="12"/>
      <c r="Q7" s="12" t="s">
        <v>14</v>
      </c>
      <c r="R7" s="12" t="s">
        <v>15</v>
      </c>
      <c r="S7" s="12" t="s">
        <v>13</v>
      </c>
      <c r="T7" s="12"/>
      <c r="U7" s="12" t="s">
        <v>14</v>
      </c>
      <c r="V7" s="12" t="s">
        <v>15</v>
      </c>
      <c r="W7" s="12" t="s">
        <v>13</v>
      </c>
      <c r="X7" s="12"/>
      <c r="Y7" s="12" t="s">
        <v>14</v>
      </c>
      <c r="Z7" s="12"/>
      <c r="AA7" s="12" t="s">
        <v>15</v>
      </c>
    </row>
    <row r="8">
      <c r="A8" s="13">
        <v>1.0</v>
      </c>
      <c r="B8" s="14" t="s">
        <v>16</v>
      </c>
      <c r="C8" s="13" t="s">
        <v>17</v>
      </c>
      <c r="D8" s="13">
        <v>70.79</v>
      </c>
      <c r="E8" s="15">
        <v>500.0</v>
      </c>
      <c r="F8" s="16">
        <f t="shared" ref="F8:F22" si="1">W8/2</f>
        <v>646</v>
      </c>
      <c r="G8" s="17">
        <f t="shared" ref="G8:G23" si="2">F8*D8</f>
        <v>45730.34</v>
      </c>
      <c r="H8" s="18"/>
      <c r="I8" s="19"/>
      <c r="J8" s="19">
        <v>646.0</v>
      </c>
      <c r="K8" s="19">
        <f t="shared" ref="K8:K22" si="3">J8*D8</f>
        <v>45730.34</v>
      </c>
      <c r="L8" s="20">
        <v>3.0</v>
      </c>
      <c r="M8" s="66">
        <f t="shared" ref="M8:M22" si="4">L8*D8</f>
        <v>212.37</v>
      </c>
      <c r="N8" s="21">
        <f t="shared" ref="N8:N24" si="5">L8/J8</f>
        <v>0.004643962848</v>
      </c>
      <c r="O8" s="19">
        <f t="shared" ref="O8:O22" si="6">W8/2</f>
        <v>646</v>
      </c>
      <c r="P8" s="22">
        <f t="shared" ref="P8:P23" si="7">O8*D8</f>
        <v>45730.34</v>
      </c>
      <c r="Q8" s="18"/>
      <c r="R8" s="18"/>
      <c r="S8" s="18">
        <v>646.0</v>
      </c>
      <c r="T8" s="18">
        <f t="shared" ref="T8:T22" si="8">S8*D8</f>
        <v>45730.34</v>
      </c>
      <c r="U8" s="18"/>
      <c r="V8" s="18"/>
      <c r="W8" s="16">
        <v>1292.0</v>
      </c>
      <c r="X8" s="23">
        <f t="shared" ref="X8:X23" si="9">W8*D8</f>
        <v>91460.68</v>
      </c>
      <c r="Y8" s="18">
        <v>9.0</v>
      </c>
      <c r="Z8" s="19">
        <f t="shared" ref="Z8:Z22" si="10">Y8*D8</f>
        <v>637.11</v>
      </c>
      <c r="AA8" s="24">
        <f t="shared" ref="AA8:AA24" si="11">Y8/W8</f>
        <v>0.006965944272</v>
      </c>
      <c r="AB8" s="25"/>
    </row>
    <row r="9">
      <c r="A9" s="26">
        <v>2.0</v>
      </c>
      <c r="B9" s="27" t="s">
        <v>18</v>
      </c>
      <c r="C9" s="26" t="s">
        <v>17</v>
      </c>
      <c r="D9" s="26">
        <v>89.37</v>
      </c>
      <c r="E9" s="28">
        <v>500.0</v>
      </c>
      <c r="F9" s="29">
        <f t="shared" si="1"/>
        <v>646</v>
      </c>
      <c r="G9" s="23">
        <f t="shared" si="2"/>
        <v>57733.02</v>
      </c>
      <c r="H9" s="30"/>
      <c r="I9" s="31"/>
      <c r="J9" s="31">
        <v>646.0</v>
      </c>
      <c r="K9" s="19">
        <f t="shared" si="3"/>
        <v>57733.02</v>
      </c>
      <c r="L9" s="22">
        <v>0.0</v>
      </c>
      <c r="M9" s="67">
        <f t="shared" si="4"/>
        <v>0</v>
      </c>
      <c r="N9" s="32">
        <f t="shared" si="5"/>
        <v>0</v>
      </c>
      <c r="O9" s="31">
        <f t="shared" si="6"/>
        <v>646</v>
      </c>
      <c r="P9" s="22">
        <f t="shared" si="7"/>
        <v>57733.02</v>
      </c>
      <c r="Q9" s="30"/>
      <c r="R9" s="30"/>
      <c r="S9" s="30">
        <v>646.0</v>
      </c>
      <c r="T9" s="18">
        <f t="shared" si="8"/>
        <v>57733.02</v>
      </c>
      <c r="U9" s="30"/>
      <c r="V9" s="30"/>
      <c r="W9" s="29">
        <v>1292.0</v>
      </c>
      <c r="X9" s="23">
        <f t="shared" si="9"/>
        <v>115466.04</v>
      </c>
      <c r="Y9" s="30">
        <v>10.0</v>
      </c>
      <c r="Z9" s="19">
        <f t="shared" si="10"/>
        <v>893.7</v>
      </c>
      <c r="AA9" s="24">
        <f t="shared" si="11"/>
        <v>0.00773993808</v>
      </c>
      <c r="AB9" s="25"/>
    </row>
    <row r="10">
      <c r="A10" s="26">
        <v>3.0</v>
      </c>
      <c r="B10" s="27" t="s">
        <v>19</v>
      </c>
      <c r="C10" s="26" t="s">
        <v>17</v>
      </c>
      <c r="D10" s="26">
        <v>112.5</v>
      </c>
      <c r="E10" s="28">
        <v>800.0</v>
      </c>
      <c r="F10" s="29">
        <f t="shared" si="1"/>
        <v>1033.5</v>
      </c>
      <c r="G10" s="23">
        <f t="shared" si="2"/>
        <v>116268.75</v>
      </c>
      <c r="H10" s="30"/>
      <c r="I10" s="31"/>
      <c r="J10" s="31">
        <v>1033.5</v>
      </c>
      <c r="K10" s="19">
        <f t="shared" si="3"/>
        <v>116268.75</v>
      </c>
      <c r="L10" s="22">
        <v>45.0</v>
      </c>
      <c r="M10" s="67">
        <f t="shared" si="4"/>
        <v>5062.5</v>
      </c>
      <c r="N10" s="32">
        <f t="shared" si="5"/>
        <v>0.0435413643</v>
      </c>
      <c r="O10" s="31">
        <f t="shared" si="6"/>
        <v>1033.5</v>
      </c>
      <c r="P10" s="22">
        <f t="shared" si="7"/>
        <v>116268.75</v>
      </c>
      <c r="Q10" s="30"/>
      <c r="R10" s="30"/>
      <c r="S10" s="30">
        <v>1033.5</v>
      </c>
      <c r="T10" s="18">
        <f t="shared" si="8"/>
        <v>116268.75</v>
      </c>
      <c r="U10" s="30"/>
      <c r="V10" s="30"/>
      <c r="W10" s="29">
        <v>2067.0</v>
      </c>
      <c r="X10" s="23">
        <f t="shared" si="9"/>
        <v>232537.5</v>
      </c>
      <c r="Y10" s="30">
        <v>2004.0</v>
      </c>
      <c r="Z10" s="19">
        <f t="shared" si="10"/>
        <v>225450</v>
      </c>
      <c r="AA10" s="24">
        <f t="shared" si="11"/>
        <v>0.969521045</v>
      </c>
      <c r="AB10" s="25"/>
    </row>
    <row r="11">
      <c r="A11" s="26">
        <v>4.0</v>
      </c>
      <c r="B11" s="27" t="s">
        <v>20</v>
      </c>
      <c r="C11" s="26" t="s">
        <v>21</v>
      </c>
      <c r="D11" s="26">
        <v>55.23</v>
      </c>
      <c r="E11" s="28">
        <v>200.0</v>
      </c>
      <c r="F11" s="29">
        <f t="shared" si="1"/>
        <v>258.5</v>
      </c>
      <c r="G11" s="23">
        <f t="shared" si="2"/>
        <v>14276.955</v>
      </c>
      <c r="H11" s="30"/>
      <c r="I11" s="31"/>
      <c r="J11" s="31">
        <v>258.5</v>
      </c>
      <c r="K11" s="19">
        <f t="shared" si="3"/>
        <v>14276.955</v>
      </c>
      <c r="L11" s="22">
        <v>0.0</v>
      </c>
      <c r="M11" s="67">
        <f t="shared" si="4"/>
        <v>0</v>
      </c>
      <c r="N11" s="32">
        <f t="shared" si="5"/>
        <v>0</v>
      </c>
      <c r="O11" s="31">
        <f t="shared" si="6"/>
        <v>258.5</v>
      </c>
      <c r="P11" s="22">
        <f t="shared" si="7"/>
        <v>14276.955</v>
      </c>
      <c r="Q11" s="30"/>
      <c r="R11" s="30"/>
      <c r="S11" s="30">
        <v>258.5</v>
      </c>
      <c r="T11" s="18">
        <f t="shared" si="8"/>
        <v>14276.955</v>
      </c>
      <c r="U11" s="30"/>
      <c r="V11" s="30"/>
      <c r="W11" s="29">
        <v>517.0</v>
      </c>
      <c r="X11" s="23">
        <f t="shared" si="9"/>
        <v>28553.91</v>
      </c>
      <c r="Y11" s="30">
        <v>0.0</v>
      </c>
      <c r="Z11" s="19">
        <f t="shared" si="10"/>
        <v>0</v>
      </c>
      <c r="AA11" s="24">
        <f t="shared" si="11"/>
        <v>0</v>
      </c>
      <c r="AB11" s="25"/>
    </row>
    <row r="12">
      <c r="A12" s="26">
        <v>5.0</v>
      </c>
      <c r="B12" s="27" t="s">
        <v>22</v>
      </c>
      <c r="C12" s="26" t="s">
        <v>23</v>
      </c>
      <c r="D12" s="26">
        <v>192.63</v>
      </c>
      <c r="E12" s="28">
        <v>192.0</v>
      </c>
      <c r="F12" s="29">
        <f t="shared" si="1"/>
        <v>248</v>
      </c>
      <c r="G12" s="23">
        <f t="shared" si="2"/>
        <v>47772.24</v>
      </c>
      <c r="H12" s="30"/>
      <c r="I12" s="31"/>
      <c r="J12" s="31">
        <v>248.0</v>
      </c>
      <c r="K12" s="19">
        <f t="shared" si="3"/>
        <v>47772.24</v>
      </c>
      <c r="L12" s="22">
        <v>0.0</v>
      </c>
      <c r="M12" s="67">
        <f t="shared" si="4"/>
        <v>0</v>
      </c>
      <c r="N12" s="32">
        <f t="shared" si="5"/>
        <v>0</v>
      </c>
      <c r="O12" s="31">
        <f t="shared" si="6"/>
        <v>248</v>
      </c>
      <c r="P12" s="22">
        <f t="shared" si="7"/>
        <v>47772.24</v>
      </c>
      <c r="Q12" s="30"/>
      <c r="R12" s="30"/>
      <c r="S12" s="30">
        <v>248.0</v>
      </c>
      <c r="T12" s="18">
        <f t="shared" si="8"/>
        <v>47772.24</v>
      </c>
      <c r="U12" s="30"/>
      <c r="V12" s="30"/>
      <c r="W12" s="29">
        <v>496.0</v>
      </c>
      <c r="X12" s="23">
        <f t="shared" si="9"/>
        <v>95544.48</v>
      </c>
      <c r="Y12" s="30">
        <v>21.0</v>
      </c>
      <c r="Z12" s="19">
        <f t="shared" si="10"/>
        <v>4045.23</v>
      </c>
      <c r="AA12" s="24">
        <f t="shared" si="11"/>
        <v>0.04233870968</v>
      </c>
      <c r="AB12" s="25"/>
    </row>
    <row r="13">
      <c r="A13" s="26">
        <v>6.0</v>
      </c>
      <c r="B13" s="27" t="s">
        <v>24</v>
      </c>
      <c r="C13" s="26" t="s">
        <v>23</v>
      </c>
      <c r="D13" s="26">
        <v>195.0</v>
      </c>
      <c r="E13" s="28">
        <v>30.0</v>
      </c>
      <c r="F13" s="29">
        <f t="shared" si="1"/>
        <v>39</v>
      </c>
      <c r="G13" s="23">
        <f t="shared" si="2"/>
        <v>7605</v>
      </c>
      <c r="H13" s="30"/>
      <c r="I13" s="31"/>
      <c r="J13" s="31">
        <v>39.0</v>
      </c>
      <c r="K13" s="19">
        <f t="shared" si="3"/>
        <v>7605</v>
      </c>
      <c r="L13" s="22">
        <v>0.0</v>
      </c>
      <c r="M13" s="67">
        <f t="shared" si="4"/>
        <v>0</v>
      </c>
      <c r="N13" s="32">
        <f t="shared" si="5"/>
        <v>0</v>
      </c>
      <c r="O13" s="31">
        <f t="shared" si="6"/>
        <v>39</v>
      </c>
      <c r="P13" s="22">
        <f t="shared" si="7"/>
        <v>7605</v>
      </c>
      <c r="Q13" s="30"/>
      <c r="R13" s="30"/>
      <c r="S13" s="30">
        <v>39.0</v>
      </c>
      <c r="T13" s="18">
        <f t="shared" si="8"/>
        <v>7605</v>
      </c>
      <c r="U13" s="30"/>
      <c r="V13" s="30"/>
      <c r="W13" s="29">
        <v>78.0</v>
      </c>
      <c r="X13" s="23">
        <f t="shared" si="9"/>
        <v>15210</v>
      </c>
      <c r="Y13" s="30">
        <v>0.0</v>
      </c>
      <c r="Z13" s="19">
        <f t="shared" si="10"/>
        <v>0</v>
      </c>
      <c r="AA13" s="24">
        <f t="shared" si="11"/>
        <v>0</v>
      </c>
      <c r="AB13" s="25"/>
    </row>
    <row r="14">
      <c r="A14" s="26">
        <v>7.0</v>
      </c>
      <c r="B14" s="27" t="s">
        <v>25</v>
      </c>
      <c r="C14" s="26" t="s">
        <v>23</v>
      </c>
      <c r="D14" s="26">
        <v>648.52</v>
      </c>
      <c r="E14" s="28">
        <v>30.0</v>
      </c>
      <c r="F14" s="29">
        <f t="shared" si="1"/>
        <v>39</v>
      </c>
      <c r="G14" s="23">
        <f t="shared" si="2"/>
        <v>25292.28</v>
      </c>
      <c r="H14" s="30"/>
      <c r="I14" s="31"/>
      <c r="J14" s="31">
        <v>39.0</v>
      </c>
      <c r="K14" s="19">
        <f t="shared" si="3"/>
        <v>25292.28</v>
      </c>
      <c r="L14" s="22">
        <v>1.0</v>
      </c>
      <c r="M14" s="67">
        <f t="shared" si="4"/>
        <v>648.52</v>
      </c>
      <c r="N14" s="32">
        <f t="shared" si="5"/>
        <v>0.02564102564</v>
      </c>
      <c r="O14" s="31">
        <f t="shared" si="6"/>
        <v>39</v>
      </c>
      <c r="P14" s="22">
        <f t="shared" si="7"/>
        <v>25292.28</v>
      </c>
      <c r="Q14" s="30"/>
      <c r="R14" s="30"/>
      <c r="S14" s="30">
        <v>39.0</v>
      </c>
      <c r="T14" s="18">
        <f t="shared" si="8"/>
        <v>25292.28</v>
      </c>
      <c r="U14" s="30"/>
      <c r="V14" s="30"/>
      <c r="W14" s="29">
        <v>78.0</v>
      </c>
      <c r="X14" s="23">
        <f t="shared" si="9"/>
        <v>50584.56</v>
      </c>
      <c r="Y14" s="30">
        <v>1.0</v>
      </c>
      <c r="Z14" s="19">
        <f t="shared" si="10"/>
        <v>648.52</v>
      </c>
      <c r="AA14" s="24">
        <f t="shared" si="11"/>
        <v>0.01282051282</v>
      </c>
      <c r="AB14" s="25"/>
    </row>
    <row r="15">
      <c r="A15" s="26">
        <v>8.0</v>
      </c>
      <c r="B15" s="27" t="s">
        <v>26</v>
      </c>
      <c r="C15" s="26" t="s">
        <v>21</v>
      </c>
      <c r="D15" s="26">
        <v>51.0</v>
      </c>
      <c r="E15" s="28">
        <v>300.0</v>
      </c>
      <c r="F15" s="29">
        <f t="shared" si="1"/>
        <v>387.5</v>
      </c>
      <c r="G15" s="23">
        <f t="shared" si="2"/>
        <v>19762.5</v>
      </c>
      <c r="H15" s="30"/>
      <c r="I15" s="31"/>
      <c r="J15" s="31">
        <v>387.5</v>
      </c>
      <c r="K15" s="19">
        <f t="shared" si="3"/>
        <v>19762.5</v>
      </c>
      <c r="L15" s="22">
        <v>55.0</v>
      </c>
      <c r="M15" s="67">
        <f t="shared" si="4"/>
        <v>2805</v>
      </c>
      <c r="N15" s="32">
        <f t="shared" si="5"/>
        <v>0.1419354839</v>
      </c>
      <c r="O15" s="31">
        <f t="shared" si="6"/>
        <v>387.5</v>
      </c>
      <c r="P15" s="22">
        <f t="shared" si="7"/>
        <v>19762.5</v>
      </c>
      <c r="Q15" s="30"/>
      <c r="R15" s="30"/>
      <c r="S15" s="30">
        <v>387.5</v>
      </c>
      <c r="T15" s="18">
        <f t="shared" si="8"/>
        <v>19762.5</v>
      </c>
      <c r="U15" s="30"/>
      <c r="V15" s="30"/>
      <c r="W15" s="29">
        <v>775.0</v>
      </c>
      <c r="X15" s="23">
        <f t="shared" si="9"/>
        <v>39525</v>
      </c>
      <c r="Y15" s="30">
        <v>86.0</v>
      </c>
      <c r="Z15" s="19">
        <f t="shared" si="10"/>
        <v>4386</v>
      </c>
      <c r="AA15" s="24">
        <f t="shared" si="11"/>
        <v>0.1109677419</v>
      </c>
      <c r="AB15" s="25"/>
    </row>
    <row r="16">
      <c r="A16" s="26">
        <v>9.0</v>
      </c>
      <c r="B16" s="27" t="s">
        <v>27</v>
      </c>
      <c r="C16" s="26" t="s">
        <v>28</v>
      </c>
      <c r="D16" s="26">
        <v>189.25</v>
      </c>
      <c r="E16" s="28">
        <v>560.0</v>
      </c>
      <c r="F16" s="29">
        <f t="shared" si="1"/>
        <v>723.5</v>
      </c>
      <c r="G16" s="23">
        <f t="shared" si="2"/>
        <v>136922.375</v>
      </c>
      <c r="H16" s="30"/>
      <c r="I16" s="31"/>
      <c r="J16" s="31">
        <v>723.5</v>
      </c>
      <c r="K16" s="19">
        <f t="shared" si="3"/>
        <v>136922.375</v>
      </c>
      <c r="L16" s="22">
        <v>19.0</v>
      </c>
      <c r="M16" s="67">
        <f t="shared" si="4"/>
        <v>3595.75</v>
      </c>
      <c r="N16" s="32">
        <f t="shared" si="5"/>
        <v>0.02626123013</v>
      </c>
      <c r="O16" s="31">
        <f t="shared" si="6"/>
        <v>723.5</v>
      </c>
      <c r="P16" s="22">
        <f t="shared" si="7"/>
        <v>136922.375</v>
      </c>
      <c r="Q16" s="30"/>
      <c r="R16" s="30"/>
      <c r="S16" s="30">
        <v>723.5</v>
      </c>
      <c r="T16" s="18">
        <f t="shared" si="8"/>
        <v>136922.375</v>
      </c>
      <c r="U16" s="30"/>
      <c r="V16" s="30"/>
      <c r="W16" s="29">
        <v>1447.0</v>
      </c>
      <c r="X16" s="23">
        <f t="shared" si="9"/>
        <v>273844.75</v>
      </c>
      <c r="Y16" s="30">
        <v>53.0</v>
      </c>
      <c r="Z16" s="19">
        <f t="shared" si="10"/>
        <v>10030.25</v>
      </c>
      <c r="AA16" s="24">
        <f t="shared" si="11"/>
        <v>0.03662750518</v>
      </c>
      <c r="AB16" s="25"/>
    </row>
    <row r="17">
      <c r="A17" s="26">
        <v>10.0</v>
      </c>
      <c r="B17" s="27" t="s">
        <v>29</v>
      </c>
      <c r="C17" s="26" t="s">
        <v>30</v>
      </c>
      <c r="D17" s="26">
        <v>128.86</v>
      </c>
      <c r="E17" s="28">
        <v>550.0</v>
      </c>
      <c r="F17" s="29">
        <f t="shared" si="1"/>
        <v>710.5</v>
      </c>
      <c r="G17" s="23">
        <f t="shared" si="2"/>
        <v>91555.03</v>
      </c>
      <c r="H17" s="30"/>
      <c r="I17" s="31"/>
      <c r="J17" s="31">
        <v>710.5</v>
      </c>
      <c r="K17" s="19">
        <f t="shared" si="3"/>
        <v>91555.03</v>
      </c>
      <c r="L17" s="22">
        <v>0.0</v>
      </c>
      <c r="M17" s="67">
        <f t="shared" si="4"/>
        <v>0</v>
      </c>
      <c r="N17" s="32">
        <f t="shared" si="5"/>
        <v>0</v>
      </c>
      <c r="O17" s="31">
        <f t="shared" si="6"/>
        <v>710.5</v>
      </c>
      <c r="P17" s="22">
        <f t="shared" si="7"/>
        <v>91555.03</v>
      </c>
      <c r="Q17" s="30"/>
      <c r="R17" s="30"/>
      <c r="S17" s="30">
        <v>710.5</v>
      </c>
      <c r="T17" s="18">
        <f t="shared" si="8"/>
        <v>91555.03</v>
      </c>
      <c r="U17" s="30"/>
      <c r="V17" s="30"/>
      <c r="W17" s="29">
        <v>1421.0</v>
      </c>
      <c r="X17" s="23">
        <f t="shared" si="9"/>
        <v>183110.06</v>
      </c>
      <c r="Y17" s="30">
        <v>0.0</v>
      </c>
      <c r="Z17" s="19">
        <f t="shared" si="10"/>
        <v>0</v>
      </c>
      <c r="AA17" s="24">
        <f t="shared" si="11"/>
        <v>0</v>
      </c>
      <c r="AB17" s="25"/>
    </row>
    <row r="18">
      <c r="A18" s="26">
        <v>11.0</v>
      </c>
      <c r="B18" s="27" t="s">
        <v>31</v>
      </c>
      <c r="C18" s="26" t="s">
        <v>32</v>
      </c>
      <c r="D18" s="26">
        <v>94.9</v>
      </c>
      <c r="E18" s="28">
        <v>650.0</v>
      </c>
      <c r="F18" s="29">
        <f t="shared" si="1"/>
        <v>839.5</v>
      </c>
      <c r="G18" s="23">
        <f t="shared" si="2"/>
        <v>79668.55</v>
      </c>
      <c r="H18" s="30"/>
      <c r="I18" s="31"/>
      <c r="J18" s="31">
        <v>839.5</v>
      </c>
      <c r="K18" s="19">
        <f t="shared" si="3"/>
        <v>79668.55</v>
      </c>
      <c r="L18" s="22">
        <v>50.0</v>
      </c>
      <c r="M18" s="67">
        <f t="shared" si="4"/>
        <v>4745</v>
      </c>
      <c r="N18" s="32">
        <f t="shared" si="5"/>
        <v>0.05955926147</v>
      </c>
      <c r="O18" s="31">
        <f t="shared" si="6"/>
        <v>839.5</v>
      </c>
      <c r="P18" s="22">
        <f t="shared" si="7"/>
        <v>79668.55</v>
      </c>
      <c r="Q18" s="30"/>
      <c r="R18" s="30"/>
      <c r="S18" s="30">
        <v>839.5</v>
      </c>
      <c r="T18" s="18">
        <f t="shared" si="8"/>
        <v>79668.55</v>
      </c>
      <c r="U18" s="30"/>
      <c r="V18" s="30"/>
      <c r="W18" s="29">
        <v>1679.0</v>
      </c>
      <c r="X18" s="23">
        <f t="shared" si="9"/>
        <v>159337.1</v>
      </c>
      <c r="Y18" s="30">
        <v>78.0</v>
      </c>
      <c r="Z18" s="19">
        <f t="shared" si="10"/>
        <v>7402.2</v>
      </c>
      <c r="AA18" s="24">
        <f t="shared" si="11"/>
        <v>0.04645622394</v>
      </c>
      <c r="AB18" s="25"/>
    </row>
    <row r="19">
      <c r="A19" s="26">
        <v>12.0</v>
      </c>
      <c r="B19" s="27" t="s">
        <v>33</v>
      </c>
      <c r="C19" s="26" t="s">
        <v>34</v>
      </c>
      <c r="D19" s="26">
        <v>85.33</v>
      </c>
      <c r="E19" s="28">
        <v>550.0</v>
      </c>
      <c r="F19" s="29">
        <f t="shared" si="1"/>
        <v>710.5</v>
      </c>
      <c r="G19" s="23">
        <f t="shared" si="2"/>
        <v>60626.965</v>
      </c>
      <c r="H19" s="30"/>
      <c r="I19" s="31"/>
      <c r="J19" s="31">
        <v>710.5</v>
      </c>
      <c r="K19" s="19">
        <f t="shared" si="3"/>
        <v>60626.965</v>
      </c>
      <c r="L19" s="22">
        <v>100.0</v>
      </c>
      <c r="M19" s="67">
        <f t="shared" si="4"/>
        <v>8533</v>
      </c>
      <c r="N19" s="32">
        <f t="shared" si="5"/>
        <v>0.1407459536</v>
      </c>
      <c r="O19" s="31">
        <f t="shared" si="6"/>
        <v>710.5</v>
      </c>
      <c r="P19" s="22">
        <f t="shared" si="7"/>
        <v>60626.965</v>
      </c>
      <c r="Q19" s="30"/>
      <c r="R19" s="30"/>
      <c r="S19" s="30">
        <v>710.5</v>
      </c>
      <c r="T19" s="18">
        <f t="shared" si="8"/>
        <v>60626.965</v>
      </c>
      <c r="U19" s="30"/>
      <c r="V19" s="30"/>
      <c r="W19" s="29">
        <v>1421.0</v>
      </c>
      <c r="X19" s="23">
        <f t="shared" si="9"/>
        <v>121253.93</v>
      </c>
      <c r="Y19" s="30">
        <v>127.0</v>
      </c>
      <c r="Z19" s="19">
        <f t="shared" si="10"/>
        <v>10836.91</v>
      </c>
      <c r="AA19" s="24">
        <f t="shared" si="11"/>
        <v>0.08937368051</v>
      </c>
      <c r="AB19" s="25"/>
    </row>
    <row r="20">
      <c r="A20" s="26">
        <v>13.0</v>
      </c>
      <c r="B20" s="27" t="s">
        <v>35</v>
      </c>
      <c r="C20" s="26" t="s">
        <v>34</v>
      </c>
      <c r="D20" s="26">
        <v>64.65</v>
      </c>
      <c r="E20" s="28">
        <v>200.0</v>
      </c>
      <c r="F20" s="29">
        <f t="shared" si="1"/>
        <v>258.5</v>
      </c>
      <c r="G20" s="23">
        <f t="shared" si="2"/>
        <v>16712.025</v>
      </c>
      <c r="H20" s="30"/>
      <c r="I20" s="31"/>
      <c r="J20" s="31">
        <v>258.5</v>
      </c>
      <c r="K20" s="19">
        <f t="shared" si="3"/>
        <v>16712.025</v>
      </c>
      <c r="L20" s="22">
        <v>0.0</v>
      </c>
      <c r="M20" s="67">
        <f t="shared" si="4"/>
        <v>0</v>
      </c>
      <c r="N20" s="32">
        <f t="shared" si="5"/>
        <v>0</v>
      </c>
      <c r="O20" s="31">
        <f t="shared" si="6"/>
        <v>258.5</v>
      </c>
      <c r="P20" s="22">
        <f t="shared" si="7"/>
        <v>16712.025</v>
      </c>
      <c r="Q20" s="30"/>
      <c r="R20" s="30"/>
      <c r="S20" s="30">
        <v>258.5</v>
      </c>
      <c r="T20" s="18">
        <f t="shared" si="8"/>
        <v>16712.025</v>
      </c>
      <c r="U20" s="30"/>
      <c r="V20" s="30"/>
      <c r="W20" s="29">
        <v>517.0</v>
      </c>
      <c r="X20" s="23">
        <f t="shared" si="9"/>
        <v>33424.05</v>
      </c>
      <c r="Y20" s="30">
        <v>0.0</v>
      </c>
      <c r="Z20" s="19">
        <f t="shared" si="10"/>
        <v>0</v>
      </c>
      <c r="AA20" s="24">
        <f t="shared" si="11"/>
        <v>0</v>
      </c>
      <c r="AB20" s="25"/>
    </row>
    <row r="21" ht="15.75" customHeight="1">
      <c r="A21" s="26">
        <v>14.0</v>
      </c>
      <c r="B21" s="27" t="s">
        <v>36</v>
      </c>
      <c r="C21" s="26" t="s">
        <v>28</v>
      </c>
      <c r="D21" s="26">
        <v>99.39</v>
      </c>
      <c r="E21" s="28">
        <v>150.0</v>
      </c>
      <c r="F21" s="29">
        <f t="shared" si="1"/>
        <v>194</v>
      </c>
      <c r="G21" s="23">
        <f t="shared" si="2"/>
        <v>19281.66</v>
      </c>
      <c r="H21" s="30"/>
      <c r="I21" s="31"/>
      <c r="J21" s="31">
        <v>194.0</v>
      </c>
      <c r="K21" s="19">
        <f t="shared" si="3"/>
        <v>19281.66</v>
      </c>
      <c r="L21" s="22">
        <v>0.0</v>
      </c>
      <c r="M21" s="67">
        <f t="shared" si="4"/>
        <v>0</v>
      </c>
      <c r="N21" s="32">
        <f t="shared" si="5"/>
        <v>0</v>
      </c>
      <c r="O21" s="31">
        <f t="shared" si="6"/>
        <v>194</v>
      </c>
      <c r="P21" s="22">
        <f t="shared" si="7"/>
        <v>19281.66</v>
      </c>
      <c r="Q21" s="30"/>
      <c r="R21" s="30"/>
      <c r="S21" s="30">
        <v>194.0</v>
      </c>
      <c r="T21" s="18">
        <f t="shared" si="8"/>
        <v>19281.66</v>
      </c>
      <c r="U21" s="30"/>
      <c r="V21" s="30"/>
      <c r="W21" s="29">
        <v>388.0</v>
      </c>
      <c r="X21" s="23">
        <f t="shared" si="9"/>
        <v>38563.32</v>
      </c>
      <c r="Y21" s="30">
        <v>0.0</v>
      </c>
      <c r="Z21" s="19">
        <f t="shared" si="10"/>
        <v>0</v>
      </c>
      <c r="AA21" s="24">
        <f t="shared" si="11"/>
        <v>0</v>
      </c>
      <c r="AB21" s="25"/>
    </row>
    <row r="22" ht="15.75" customHeight="1">
      <c r="A22" s="33">
        <v>15.0</v>
      </c>
      <c r="B22" s="34" t="s">
        <v>37</v>
      </c>
      <c r="C22" s="33" t="s">
        <v>21</v>
      </c>
      <c r="D22" s="33">
        <v>89.64</v>
      </c>
      <c r="E22" s="35">
        <v>300.0</v>
      </c>
      <c r="F22" s="36">
        <f t="shared" si="1"/>
        <v>387.5</v>
      </c>
      <c r="G22" s="37">
        <f t="shared" si="2"/>
        <v>34735.5</v>
      </c>
      <c r="H22" s="38"/>
      <c r="I22" s="39"/>
      <c r="J22" s="77">
        <v>387.5</v>
      </c>
      <c r="K22" s="78">
        <f t="shared" si="3"/>
        <v>34735.5</v>
      </c>
      <c r="L22" s="79">
        <v>137.0</v>
      </c>
      <c r="M22" s="87">
        <f t="shared" si="4"/>
        <v>12280.68</v>
      </c>
      <c r="N22" s="80">
        <f t="shared" si="5"/>
        <v>0.3535483871</v>
      </c>
      <c r="O22" s="39">
        <f t="shared" si="6"/>
        <v>387.5</v>
      </c>
      <c r="P22" s="22">
        <f t="shared" si="7"/>
        <v>34735.5</v>
      </c>
      <c r="Q22" s="38"/>
      <c r="R22" s="38"/>
      <c r="S22" s="38">
        <v>387.5</v>
      </c>
      <c r="T22" s="18">
        <f t="shared" si="8"/>
        <v>34735.5</v>
      </c>
      <c r="U22" s="38"/>
      <c r="V22" s="38"/>
      <c r="W22" s="36">
        <v>775.0</v>
      </c>
      <c r="X22" s="23">
        <f t="shared" si="9"/>
        <v>69471</v>
      </c>
      <c r="Y22" s="38">
        <v>15.0</v>
      </c>
      <c r="Z22" s="19">
        <f t="shared" si="10"/>
        <v>1344.6</v>
      </c>
      <c r="AA22" s="24">
        <f t="shared" si="11"/>
        <v>0.01935483871</v>
      </c>
      <c r="AB22" s="25"/>
    </row>
    <row r="23" ht="15.75" customHeight="1">
      <c r="A23" s="41" t="s">
        <v>38</v>
      </c>
      <c r="B23" s="7"/>
      <c r="C23" s="8"/>
      <c r="D23" s="42"/>
      <c r="E23" s="43"/>
      <c r="F23" s="44">
        <f>SUM(F8:F22)</f>
        <v>7121.5</v>
      </c>
      <c r="G23" s="45">
        <f t="shared" si="2"/>
        <v>0</v>
      </c>
      <c r="H23" s="46"/>
      <c r="I23" s="46"/>
      <c r="J23" s="81">
        <f t="shared" ref="J23:M23" si="12">SUM(J8:J22)</f>
        <v>7121.5</v>
      </c>
      <c r="K23" s="81">
        <f t="shared" si="12"/>
        <v>773943.19</v>
      </c>
      <c r="L23" s="81">
        <f t="shared" si="12"/>
        <v>410</v>
      </c>
      <c r="M23" s="82">
        <f t="shared" si="12"/>
        <v>37882.82</v>
      </c>
      <c r="N23" s="83">
        <f t="shared" si="5"/>
        <v>0.0575721407</v>
      </c>
      <c r="O23" s="84">
        <f>SUM(O8:O22)</f>
        <v>7121.5</v>
      </c>
      <c r="P23" s="50">
        <f t="shared" si="7"/>
        <v>0</v>
      </c>
      <c r="Q23" s="46"/>
      <c r="R23" s="46"/>
      <c r="S23" s="47">
        <f t="shared" ref="S23:T23" si="13">SUM(S8:S22)</f>
        <v>7121.5</v>
      </c>
      <c r="T23" s="47">
        <f t="shared" si="13"/>
        <v>773943.19</v>
      </c>
      <c r="U23" s="47"/>
      <c r="V23" s="47"/>
      <c r="W23" s="51">
        <f>SUM(W8:W22)</f>
        <v>14243</v>
      </c>
      <c r="X23" s="52">
        <f t="shared" si="9"/>
        <v>0</v>
      </c>
      <c r="Y23" s="46">
        <f>SUM(Y8:Y22)</f>
        <v>2404</v>
      </c>
      <c r="Z23" s="19">
        <f>Z22+Z21+Z20+Z19+Z18+Z17+Z16+Z15+Z14+Z13+Z12+Z11+Z10+Z9+Z8</f>
        <v>265674.52</v>
      </c>
      <c r="AA23" s="24">
        <f t="shared" si="11"/>
        <v>0.1687846662</v>
      </c>
    </row>
    <row r="24" ht="15.75" customHeight="1">
      <c r="A24" s="41" t="s">
        <v>39</v>
      </c>
      <c r="B24" s="7"/>
      <c r="C24" s="8"/>
      <c r="D24" s="53"/>
      <c r="E24" s="54">
        <f>SUM(E8:E23)</f>
        <v>5512</v>
      </c>
      <c r="F24" s="55">
        <f>G24</f>
        <v>773943.19</v>
      </c>
      <c r="G24" s="55">
        <f>SUM(G8:G23)</f>
        <v>773943.19</v>
      </c>
      <c r="H24" s="55"/>
      <c r="I24" s="55"/>
      <c r="J24" s="55">
        <f>K23</f>
        <v>773943.19</v>
      </c>
      <c r="K24" s="55"/>
      <c r="L24" s="55">
        <f>M23</f>
        <v>37882.82</v>
      </c>
      <c r="M24" s="54"/>
      <c r="N24" s="85">
        <f t="shared" si="5"/>
        <v>0.04894780455</v>
      </c>
      <c r="O24" s="86">
        <f>P24</f>
        <v>773943.19</v>
      </c>
      <c r="P24" s="55">
        <f>SUM(P8:P23)</f>
        <v>773943.19</v>
      </c>
      <c r="Q24" s="55"/>
      <c r="R24" s="55"/>
      <c r="S24" s="55">
        <f>T23</f>
        <v>773943.19</v>
      </c>
      <c r="T24" s="55"/>
      <c r="U24" s="55"/>
      <c r="V24" s="55"/>
      <c r="W24" s="55">
        <f>X24</f>
        <v>1547886.38</v>
      </c>
      <c r="X24" s="55">
        <f>SUM(X8:X23)</f>
        <v>1547886.38</v>
      </c>
      <c r="Y24" s="55">
        <f>Z23</f>
        <v>265674.52</v>
      </c>
      <c r="Z24" s="55"/>
      <c r="AA24" s="24">
        <f t="shared" si="11"/>
        <v>0.1716369647</v>
      </c>
      <c r="AB24" s="58"/>
    </row>
    <row r="25" ht="15.75" customHeight="1">
      <c r="B25" s="62"/>
      <c r="C25" s="62"/>
      <c r="D25" s="62"/>
      <c r="E25" s="62"/>
      <c r="F25" s="63"/>
      <c r="G25" s="62"/>
      <c r="H25" s="62"/>
      <c r="I25" s="62"/>
      <c r="J25" s="62"/>
      <c r="K25" s="62"/>
      <c r="L25" s="62"/>
      <c r="M25" s="62"/>
      <c r="N25" s="62"/>
      <c r="O25" s="64"/>
    </row>
    <row r="26" ht="15.75" customHeight="1">
      <c r="B26" s="65"/>
      <c r="D26" s="42"/>
      <c r="E26" s="42"/>
    </row>
    <row r="27" ht="15.75" customHeight="1">
      <c r="D27" s="42"/>
      <c r="E27" s="42"/>
    </row>
    <row r="28" ht="15.75" customHeight="1">
      <c r="D28" s="42"/>
      <c r="E28" s="42"/>
    </row>
    <row r="29" ht="15.75" customHeight="1">
      <c r="D29" s="42"/>
      <c r="E29" s="42"/>
    </row>
    <row r="30" ht="15.75" customHeight="1">
      <c r="D30" s="42"/>
      <c r="E30" s="42"/>
    </row>
    <row r="31" ht="15.75" customHeight="1">
      <c r="D31" s="42"/>
      <c r="E31" s="42"/>
    </row>
    <row r="32" ht="15.75" customHeight="1">
      <c r="D32" s="42"/>
      <c r="E32" s="42"/>
    </row>
    <row r="33" ht="15.75" customHeight="1">
      <c r="D33" s="42"/>
      <c r="E33" s="42"/>
    </row>
    <row r="34" ht="15.75" customHeight="1">
      <c r="D34" s="42"/>
      <c r="E34" s="42"/>
    </row>
    <row r="35" ht="15.75" customHeight="1">
      <c r="D35" s="42"/>
      <c r="E35" s="42"/>
    </row>
    <row r="36" ht="15.75" customHeight="1">
      <c r="D36" s="42"/>
      <c r="E36" s="42"/>
    </row>
    <row r="37" ht="15.75" customHeight="1">
      <c r="D37" s="42"/>
      <c r="E37" s="42"/>
    </row>
    <row r="38" ht="15.75" customHeight="1">
      <c r="D38" s="42"/>
      <c r="E38" s="42"/>
    </row>
    <row r="39" ht="15.75" customHeight="1">
      <c r="D39" s="42"/>
      <c r="E39" s="42"/>
    </row>
    <row r="40" ht="15.75" customHeight="1">
      <c r="D40" s="42"/>
      <c r="E40" s="42"/>
    </row>
    <row r="41" ht="15.75" customHeight="1">
      <c r="D41" s="42"/>
      <c r="E41" s="42"/>
    </row>
    <row r="42" ht="15.75" customHeight="1">
      <c r="D42" s="42"/>
      <c r="E42" s="42"/>
    </row>
    <row r="43" ht="15.75" customHeight="1">
      <c r="D43" s="42"/>
      <c r="E43" s="42"/>
    </row>
    <row r="44" ht="15.75" customHeight="1">
      <c r="D44" s="42"/>
      <c r="E44" s="42"/>
    </row>
    <row r="45" ht="15.75" customHeight="1">
      <c r="D45" s="42"/>
      <c r="E45" s="42"/>
    </row>
    <row r="46" ht="15.75" customHeight="1">
      <c r="D46" s="42"/>
      <c r="E46" s="42"/>
    </row>
    <row r="47" ht="15.75" customHeight="1">
      <c r="D47" s="42"/>
      <c r="E47" s="42"/>
    </row>
    <row r="48" ht="15.75" customHeight="1">
      <c r="D48" s="42"/>
      <c r="E48" s="42"/>
    </row>
    <row r="49" ht="15.75" customHeight="1">
      <c r="D49" s="42"/>
      <c r="E49" s="42"/>
    </row>
    <row r="50" ht="15.75" customHeight="1">
      <c r="D50" s="42"/>
      <c r="E50" s="42"/>
    </row>
    <row r="51" ht="15.75" customHeight="1">
      <c r="D51" s="42"/>
      <c r="E51" s="42"/>
    </row>
    <row r="52" ht="15.75" customHeight="1">
      <c r="D52" s="42"/>
      <c r="E52" s="42"/>
    </row>
    <row r="53" ht="15.75" customHeight="1">
      <c r="D53" s="42"/>
      <c r="E53" s="42"/>
    </row>
    <row r="54" ht="15.75" customHeight="1">
      <c r="D54" s="42"/>
      <c r="E54" s="42"/>
    </row>
    <row r="55" ht="15.75" customHeight="1">
      <c r="D55" s="42"/>
      <c r="E55" s="42"/>
    </row>
    <row r="56" ht="15.75" customHeight="1">
      <c r="D56" s="42"/>
      <c r="E56" s="42"/>
    </row>
    <row r="57" ht="15.75" customHeight="1">
      <c r="D57" s="42"/>
      <c r="E57" s="42"/>
    </row>
    <row r="58" ht="15.75" customHeight="1">
      <c r="D58" s="42"/>
      <c r="E58" s="42"/>
    </row>
    <row r="59" ht="15.75" customHeight="1">
      <c r="D59" s="42"/>
      <c r="E59" s="42"/>
    </row>
    <row r="60" ht="15.75" customHeight="1">
      <c r="D60" s="42"/>
      <c r="E60" s="42"/>
    </row>
    <row r="61" ht="15.75" customHeight="1">
      <c r="D61" s="42"/>
      <c r="E61" s="42"/>
    </row>
    <row r="62" ht="15.75" customHeight="1">
      <c r="D62" s="42"/>
      <c r="E62" s="42"/>
    </row>
    <row r="63" ht="15.75" customHeight="1">
      <c r="D63" s="42"/>
      <c r="E63" s="42"/>
    </row>
    <row r="64" ht="15.75" customHeight="1">
      <c r="D64" s="42"/>
      <c r="E64" s="42"/>
    </row>
    <row r="65" ht="15.75" customHeight="1">
      <c r="D65" s="42"/>
      <c r="E65" s="42"/>
    </row>
    <row r="66" ht="15.75" customHeight="1">
      <c r="D66" s="42"/>
      <c r="E66" s="42"/>
    </row>
    <row r="67" ht="15.75" customHeight="1">
      <c r="D67" s="42"/>
      <c r="E67" s="42"/>
    </row>
    <row r="68" ht="15.75" customHeight="1">
      <c r="D68" s="42"/>
      <c r="E68" s="42"/>
    </row>
    <row r="69" ht="15.75" customHeight="1">
      <c r="D69" s="42"/>
      <c r="E69" s="42"/>
    </row>
    <row r="70" ht="15.75" customHeight="1">
      <c r="D70" s="42"/>
      <c r="E70" s="42"/>
    </row>
    <row r="71" ht="15.75" customHeight="1">
      <c r="D71" s="42"/>
      <c r="E71" s="42"/>
    </row>
    <row r="72" ht="15.75" customHeight="1">
      <c r="D72" s="42"/>
      <c r="E72" s="42"/>
    </row>
    <row r="73" ht="15.75" customHeight="1">
      <c r="D73" s="42"/>
      <c r="E73" s="42"/>
    </row>
    <row r="74" ht="15.75" customHeight="1">
      <c r="D74" s="42"/>
      <c r="E74" s="42"/>
    </row>
    <row r="75" ht="15.75" customHeight="1">
      <c r="D75" s="42"/>
      <c r="E75" s="42"/>
    </row>
    <row r="76" ht="15.75" customHeight="1">
      <c r="D76" s="42"/>
      <c r="E76" s="42"/>
    </row>
    <row r="77" ht="15.75" customHeight="1">
      <c r="D77" s="42"/>
      <c r="E77" s="42"/>
    </row>
    <row r="78" ht="15.75" customHeight="1">
      <c r="D78" s="42"/>
      <c r="E78" s="42"/>
    </row>
    <row r="79" ht="15.75" customHeight="1">
      <c r="D79" s="42"/>
      <c r="E79" s="42"/>
    </row>
    <row r="80" ht="15.75" customHeight="1">
      <c r="D80" s="42"/>
      <c r="E80" s="42"/>
    </row>
    <row r="81" ht="15.75" customHeight="1">
      <c r="D81" s="42"/>
      <c r="E81" s="42"/>
    </row>
    <row r="82" ht="15.75" customHeight="1">
      <c r="D82" s="42"/>
      <c r="E82" s="42"/>
    </row>
    <row r="83" ht="15.75" customHeight="1">
      <c r="D83" s="42"/>
      <c r="E83" s="42"/>
    </row>
    <row r="84" ht="15.75" customHeight="1">
      <c r="D84" s="42"/>
      <c r="E84" s="42"/>
    </row>
    <row r="85" ht="15.75" customHeight="1">
      <c r="D85" s="42"/>
      <c r="E85" s="42"/>
    </row>
    <row r="86" ht="15.75" customHeight="1">
      <c r="D86" s="42"/>
      <c r="E86" s="42"/>
    </row>
    <row r="87" ht="15.75" customHeight="1">
      <c r="D87" s="42"/>
      <c r="E87" s="42"/>
    </row>
    <row r="88" ht="15.75" customHeight="1">
      <c r="D88" s="42"/>
      <c r="E88" s="42"/>
    </row>
    <row r="89" ht="15.75" customHeight="1">
      <c r="D89" s="42"/>
      <c r="E89" s="42"/>
    </row>
    <row r="90" ht="15.75" customHeight="1">
      <c r="D90" s="42"/>
      <c r="E90" s="42"/>
    </row>
    <row r="91" ht="15.75" customHeight="1">
      <c r="D91" s="42"/>
      <c r="E91" s="42"/>
    </row>
    <row r="92" ht="15.75" customHeight="1">
      <c r="D92" s="42"/>
      <c r="E92" s="42"/>
    </row>
    <row r="93" ht="15.75" customHeight="1">
      <c r="D93" s="42"/>
      <c r="E93" s="42"/>
    </row>
    <row r="94" ht="15.75" customHeight="1">
      <c r="D94" s="42"/>
      <c r="E94" s="42"/>
    </row>
    <row r="95" ht="15.75" customHeight="1">
      <c r="D95" s="42"/>
      <c r="E95" s="42"/>
    </row>
    <row r="96" ht="15.75" customHeight="1">
      <c r="D96" s="42"/>
      <c r="E96" s="42"/>
    </row>
    <row r="97" ht="15.75" customHeight="1">
      <c r="D97" s="42"/>
      <c r="E97" s="42"/>
    </row>
    <row r="98" ht="15.75" customHeight="1">
      <c r="D98" s="42"/>
      <c r="E98" s="42"/>
    </row>
    <row r="99" ht="15.75" customHeight="1">
      <c r="D99" s="42"/>
      <c r="E99" s="42"/>
    </row>
    <row r="100" ht="15.75" customHeight="1">
      <c r="D100" s="42"/>
      <c r="E100" s="42"/>
    </row>
    <row r="101" ht="15.75" customHeight="1">
      <c r="D101" s="42"/>
      <c r="E101" s="42"/>
    </row>
    <row r="102" ht="15.75" customHeight="1">
      <c r="D102" s="42"/>
      <c r="E102" s="42"/>
    </row>
    <row r="103" ht="15.75" customHeight="1">
      <c r="D103" s="42"/>
      <c r="E103" s="42"/>
    </row>
    <row r="104" ht="15.75" customHeight="1">
      <c r="D104" s="42"/>
      <c r="E104" s="42"/>
    </row>
    <row r="105" ht="15.75" customHeight="1">
      <c r="D105" s="42"/>
      <c r="E105" s="42"/>
    </row>
    <row r="106" ht="15.75" customHeight="1">
      <c r="D106" s="42"/>
      <c r="E106" s="42"/>
    </row>
    <row r="107" ht="15.75" customHeight="1">
      <c r="D107" s="42"/>
      <c r="E107" s="42"/>
    </row>
    <row r="108" ht="15.75" customHeight="1">
      <c r="D108" s="42"/>
      <c r="E108" s="42"/>
    </row>
    <row r="109" ht="15.75" customHeight="1">
      <c r="D109" s="42"/>
      <c r="E109" s="42"/>
    </row>
    <row r="110" ht="15.75" customHeight="1">
      <c r="D110" s="42"/>
      <c r="E110" s="42"/>
    </row>
    <row r="111" ht="15.75" customHeight="1">
      <c r="D111" s="42"/>
      <c r="E111" s="42"/>
    </row>
    <row r="112" ht="15.75" customHeight="1">
      <c r="D112" s="42"/>
      <c r="E112" s="42"/>
    </row>
    <row r="113" ht="15.75" customHeight="1">
      <c r="D113" s="42"/>
      <c r="E113" s="42"/>
    </row>
    <row r="114" ht="15.75" customHeight="1">
      <c r="D114" s="42"/>
      <c r="E114" s="42"/>
    </row>
    <row r="115" ht="15.75" customHeight="1">
      <c r="D115" s="42"/>
      <c r="E115" s="42"/>
    </row>
    <row r="116" ht="15.75" customHeight="1">
      <c r="D116" s="42"/>
      <c r="E116" s="42"/>
    </row>
    <row r="117" ht="15.75" customHeight="1">
      <c r="D117" s="42"/>
      <c r="E117" s="42"/>
    </row>
    <row r="118" ht="15.75" customHeight="1">
      <c r="D118" s="42"/>
      <c r="E118" s="42"/>
    </row>
    <row r="119" ht="15.75" customHeight="1">
      <c r="D119" s="42"/>
      <c r="E119" s="42"/>
    </row>
    <row r="120" ht="15.75" customHeight="1">
      <c r="D120" s="42"/>
      <c r="E120" s="42"/>
    </row>
    <row r="121" ht="15.75" customHeight="1">
      <c r="D121" s="42"/>
      <c r="E121" s="42"/>
    </row>
    <row r="122" ht="15.75" customHeight="1">
      <c r="D122" s="42"/>
      <c r="E122" s="42"/>
    </row>
    <row r="123" ht="15.75" customHeight="1">
      <c r="D123" s="42"/>
      <c r="E123" s="42"/>
    </row>
    <row r="124" ht="15.75" customHeight="1">
      <c r="D124" s="42"/>
      <c r="E124" s="42"/>
    </row>
    <row r="125" ht="15.75" customHeight="1">
      <c r="D125" s="42"/>
      <c r="E125" s="42"/>
    </row>
    <row r="126" ht="15.75" customHeight="1">
      <c r="D126" s="42"/>
      <c r="E126" s="42"/>
    </row>
    <row r="127" ht="15.75" customHeight="1">
      <c r="D127" s="42"/>
      <c r="E127" s="42"/>
    </row>
    <row r="128" ht="15.75" customHeight="1">
      <c r="D128" s="42"/>
      <c r="E128" s="42"/>
    </row>
    <row r="129" ht="15.75" customHeight="1">
      <c r="D129" s="42"/>
      <c r="E129" s="42"/>
    </row>
    <row r="130" ht="15.75" customHeight="1">
      <c r="D130" s="42"/>
      <c r="E130" s="42"/>
    </row>
    <row r="131" ht="15.75" customHeight="1">
      <c r="D131" s="42"/>
      <c r="E131" s="42"/>
    </row>
    <row r="132" ht="15.75" customHeight="1">
      <c r="D132" s="42"/>
      <c r="E132" s="42"/>
    </row>
    <row r="133" ht="15.75" customHeight="1">
      <c r="D133" s="42"/>
      <c r="E133" s="42"/>
    </row>
    <row r="134" ht="15.75" customHeight="1">
      <c r="D134" s="42"/>
      <c r="E134" s="42"/>
    </row>
    <row r="135" ht="15.75" customHeight="1">
      <c r="D135" s="42"/>
      <c r="E135" s="42"/>
    </row>
    <row r="136" ht="15.75" customHeight="1">
      <c r="D136" s="42"/>
      <c r="E136" s="42"/>
    </row>
    <row r="137" ht="15.75" customHeight="1">
      <c r="D137" s="42"/>
      <c r="E137" s="42"/>
    </row>
    <row r="138" ht="15.75" customHeight="1">
      <c r="D138" s="42"/>
      <c r="E138" s="42"/>
    </row>
    <row r="139" ht="15.75" customHeight="1">
      <c r="D139" s="42"/>
      <c r="E139" s="42"/>
    </row>
    <row r="140" ht="15.75" customHeight="1">
      <c r="D140" s="42"/>
      <c r="E140" s="42"/>
    </row>
    <row r="141" ht="15.75" customHeight="1">
      <c r="D141" s="42"/>
      <c r="E141" s="42"/>
    </row>
    <row r="142" ht="15.75" customHeight="1">
      <c r="D142" s="42"/>
      <c r="E142" s="42"/>
    </row>
    <row r="143" ht="15.75" customHeight="1">
      <c r="D143" s="42"/>
      <c r="E143" s="42"/>
    </row>
    <row r="144" ht="15.75" customHeight="1">
      <c r="D144" s="42"/>
      <c r="E144" s="42"/>
    </row>
    <row r="145" ht="15.75" customHeight="1">
      <c r="D145" s="42"/>
      <c r="E145" s="42"/>
    </row>
    <row r="146" ht="15.75" customHeight="1">
      <c r="D146" s="42"/>
      <c r="E146" s="42"/>
    </row>
    <row r="147" ht="15.75" customHeight="1">
      <c r="D147" s="42"/>
      <c r="E147" s="42"/>
    </row>
    <row r="148" ht="15.75" customHeight="1">
      <c r="D148" s="42"/>
      <c r="E148" s="42"/>
    </row>
    <row r="149" ht="15.75" customHeight="1">
      <c r="D149" s="42"/>
      <c r="E149" s="42"/>
    </row>
    <row r="150" ht="15.75" customHeight="1">
      <c r="D150" s="42"/>
      <c r="E150" s="42"/>
    </row>
    <row r="151" ht="15.75" customHeight="1">
      <c r="D151" s="42"/>
      <c r="E151" s="42"/>
    </row>
    <row r="152" ht="15.75" customHeight="1">
      <c r="D152" s="42"/>
      <c r="E152" s="42"/>
    </row>
    <row r="153" ht="15.75" customHeight="1">
      <c r="D153" s="42"/>
      <c r="E153" s="42"/>
    </row>
    <row r="154" ht="15.75" customHeight="1">
      <c r="D154" s="42"/>
      <c r="E154" s="42"/>
    </row>
    <row r="155" ht="15.75" customHeight="1">
      <c r="D155" s="42"/>
      <c r="E155" s="42"/>
    </row>
    <row r="156" ht="15.75" customHeight="1">
      <c r="D156" s="42"/>
      <c r="E156" s="42"/>
    </row>
    <row r="157" ht="15.75" customHeight="1">
      <c r="D157" s="42"/>
      <c r="E157" s="42"/>
    </row>
    <row r="158" ht="15.75" customHeight="1">
      <c r="D158" s="42"/>
      <c r="E158" s="42"/>
    </row>
    <row r="159" ht="15.75" customHeight="1">
      <c r="D159" s="42"/>
      <c r="E159" s="42"/>
    </row>
    <row r="160" ht="15.75" customHeight="1">
      <c r="D160" s="42"/>
      <c r="E160" s="42"/>
    </row>
    <row r="161" ht="15.75" customHeight="1">
      <c r="D161" s="42"/>
      <c r="E161" s="42"/>
    </row>
    <row r="162" ht="15.75" customHeight="1">
      <c r="D162" s="42"/>
      <c r="E162" s="42"/>
    </row>
    <row r="163" ht="15.75" customHeight="1">
      <c r="D163" s="42"/>
      <c r="E163" s="42"/>
    </row>
    <row r="164" ht="15.75" customHeight="1">
      <c r="D164" s="42"/>
      <c r="E164" s="42"/>
    </row>
    <row r="165" ht="15.75" customHeight="1">
      <c r="D165" s="42"/>
      <c r="E165" s="42"/>
    </row>
    <row r="166" ht="15.75" customHeight="1">
      <c r="D166" s="42"/>
      <c r="E166" s="42"/>
    </row>
    <row r="167" ht="15.75" customHeight="1">
      <c r="D167" s="42"/>
      <c r="E167" s="42"/>
    </row>
    <row r="168" ht="15.75" customHeight="1">
      <c r="D168" s="42"/>
      <c r="E168" s="42"/>
    </row>
    <row r="169" ht="15.75" customHeight="1">
      <c r="D169" s="42"/>
      <c r="E169" s="42"/>
    </row>
    <row r="170" ht="15.75" customHeight="1">
      <c r="D170" s="42"/>
      <c r="E170" s="42"/>
    </row>
    <row r="171" ht="15.75" customHeight="1">
      <c r="D171" s="42"/>
      <c r="E171" s="42"/>
    </row>
    <row r="172" ht="15.75" customHeight="1">
      <c r="D172" s="42"/>
      <c r="E172" s="42"/>
    </row>
    <row r="173" ht="15.75" customHeight="1">
      <c r="D173" s="42"/>
      <c r="E173" s="42"/>
    </row>
    <row r="174" ht="15.75" customHeight="1">
      <c r="D174" s="42"/>
      <c r="E174" s="42"/>
    </row>
    <row r="175" ht="15.75" customHeight="1">
      <c r="D175" s="42"/>
      <c r="E175" s="42"/>
    </row>
    <row r="176" ht="15.75" customHeight="1">
      <c r="D176" s="42"/>
      <c r="E176" s="42"/>
    </row>
    <row r="177" ht="15.75" customHeight="1">
      <c r="D177" s="42"/>
      <c r="E177" s="42"/>
    </row>
    <row r="178" ht="15.75" customHeight="1">
      <c r="D178" s="42"/>
      <c r="E178" s="42"/>
    </row>
    <row r="179" ht="15.75" customHeight="1">
      <c r="D179" s="42"/>
      <c r="E179" s="42"/>
    </row>
    <row r="180" ht="15.75" customHeight="1">
      <c r="D180" s="42"/>
      <c r="E180" s="42"/>
    </row>
    <row r="181" ht="15.75" customHeight="1">
      <c r="D181" s="42"/>
      <c r="E181" s="42"/>
    </row>
    <row r="182" ht="15.75" customHeight="1">
      <c r="D182" s="42"/>
      <c r="E182" s="42"/>
    </row>
    <row r="183" ht="15.75" customHeight="1">
      <c r="D183" s="42"/>
      <c r="E183" s="42"/>
    </row>
    <row r="184" ht="15.75" customHeight="1">
      <c r="D184" s="42"/>
      <c r="E184" s="42"/>
    </row>
    <row r="185" ht="15.75" customHeight="1">
      <c r="D185" s="42"/>
      <c r="E185" s="42"/>
    </row>
    <row r="186" ht="15.75" customHeight="1">
      <c r="D186" s="42"/>
      <c r="E186" s="42"/>
    </row>
    <row r="187" ht="15.75" customHeight="1">
      <c r="D187" s="42"/>
      <c r="E187" s="42"/>
    </row>
    <row r="188" ht="15.75" customHeight="1">
      <c r="D188" s="42"/>
      <c r="E188" s="42"/>
    </row>
    <row r="189" ht="15.75" customHeight="1">
      <c r="D189" s="42"/>
      <c r="E189" s="42"/>
    </row>
    <row r="190" ht="15.75" customHeight="1">
      <c r="D190" s="42"/>
      <c r="E190" s="42"/>
    </row>
    <row r="191" ht="15.75" customHeight="1">
      <c r="D191" s="42"/>
      <c r="E191" s="42"/>
    </row>
    <row r="192" ht="15.75" customHeight="1">
      <c r="D192" s="42"/>
      <c r="E192" s="42"/>
    </row>
    <row r="193" ht="15.75" customHeight="1">
      <c r="D193" s="42"/>
      <c r="E193" s="42"/>
    </row>
    <row r="194" ht="15.75" customHeight="1">
      <c r="D194" s="42"/>
      <c r="E194" s="42"/>
    </row>
    <row r="195" ht="15.75" customHeight="1">
      <c r="D195" s="42"/>
      <c r="E195" s="42"/>
    </row>
    <row r="196" ht="15.75" customHeight="1">
      <c r="D196" s="42"/>
      <c r="E196" s="42"/>
    </row>
    <row r="197" ht="15.75" customHeight="1">
      <c r="D197" s="42"/>
      <c r="E197" s="42"/>
    </row>
    <row r="198" ht="15.75" customHeight="1">
      <c r="D198" s="42"/>
      <c r="E198" s="42"/>
    </row>
    <row r="199" ht="15.75" customHeight="1">
      <c r="D199" s="42"/>
      <c r="E199" s="42"/>
    </row>
    <row r="200" ht="15.75" customHeight="1">
      <c r="D200" s="42"/>
      <c r="E200" s="42"/>
    </row>
    <row r="201" ht="15.75" customHeight="1">
      <c r="D201" s="42"/>
      <c r="E201" s="42"/>
    </row>
    <row r="202" ht="15.75" customHeight="1">
      <c r="D202" s="42"/>
      <c r="E202" s="42"/>
    </row>
    <row r="203" ht="15.75" customHeight="1">
      <c r="D203" s="42"/>
      <c r="E203" s="42"/>
    </row>
    <row r="204" ht="15.75" customHeight="1">
      <c r="D204" s="42"/>
      <c r="E204" s="42"/>
    </row>
    <row r="205" ht="15.75" customHeight="1">
      <c r="D205" s="42"/>
      <c r="E205" s="42"/>
    </row>
    <row r="206" ht="15.75" customHeight="1">
      <c r="D206" s="42"/>
      <c r="E206" s="42"/>
    </row>
    <row r="207" ht="15.75" customHeight="1">
      <c r="D207" s="42"/>
      <c r="E207" s="42"/>
    </row>
    <row r="208" ht="15.75" customHeight="1">
      <c r="D208" s="42"/>
      <c r="E208" s="42"/>
    </row>
    <row r="209" ht="15.75" customHeight="1">
      <c r="D209" s="42"/>
      <c r="E209" s="42"/>
    </row>
    <row r="210" ht="15.75" customHeight="1">
      <c r="D210" s="42"/>
      <c r="E210" s="42"/>
    </row>
    <row r="211" ht="15.75" customHeight="1">
      <c r="D211" s="42"/>
      <c r="E211" s="42"/>
    </row>
    <row r="212" ht="15.75" customHeight="1">
      <c r="D212" s="42"/>
      <c r="E212" s="42"/>
    </row>
    <row r="213" ht="15.75" customHeight="1">
      <c r="D213" s="42"/>
      <c r="E213" s="42"/>
    </row>
    <row r="214" ht="15.75" customHeight="1">
      <c r="D214" s="42"/>
      <c r="E214" s="42"/>
    </row>
    <row r="215" ht="15.75" customHeight="1">
      <c r="D215" s="42"/>
      <c r="E215" s="42"/>
    </row>
    <row r="216" ht="15.75" customHeight="1">
      <c r="D216" s="42"/>
      <c r="E216" s="42"/>
    </row>
    <row r="217" ht="15.75" customHeight="1">
      <c r="D217" s="42"/>
      <c r="E217" s="42"/>
    </row>
    <row r="218" ht="15.75" customHeight="1">
      <c r="D218" s="42"/>
      <c r="E218" s="42"/>
    </row>
    <row r="219" ht="15.75" customHeight="1">
      <c r="D219" s="42"/>
      <c r="E219" s="42"/>
    </row>
    <row r="220" ht="15.75" customHeight="1">
      <c r="D220" s="42"/>
      <c r="E220" s="42"/>
    </row>
    <row r="221" ht="15.75" customHeight="1">
      <c r="D221" s="42"/>
      <c r="E221" s="42"/>
    </row>
    <row r="222" ht="15.75" customHeight="1">
      <c r="D222" s="42"/>
      <c r="E222" s="42"/>
    </row>
    <row r="223" ht="15.75" customHeight="1">
      <c r="D223" s="42"/>
      <c r="E223" s="42"/>
    </row>
    <row r="224" ht="15.75" customHeight="1">
      <c r="D224" s="42"/>
      <c r="E224" s="42"/>
    </row>
    <row r="225" ht="15.75" customHeight="1">
      <c r="D225" s="42"/>
      <c r="E225" s="42"/>
    </row>
    <row r="226" ht="15.75" customHeight="1">
      <c r="D226" s="42"/>
      <c r="E226" s="42"/>
    </row>
    <row r="227" ht="15.75" customHeight="1">
      <c r="D227" s="42"/>
      <c r="E227" s="42"/>
    </row>
    <row r="228" ht="15.75" customHeight="1">
      <c r="D228" s="42"/>
      <c r="E228" s="42"/>
    </row>
    <row r="229" ht="15.75" customHeight="1">
      <c r="D229" s="42"/>
      <c r="E229" s="42"/>
    </row>
    <row r="230" ht="15.75" customHeight="1">
      <c r="D230" s="42"/>
      <c r="E230" s="42"/>
    </row>
    <row r="231" ht="15.75" customHeight="1">
      <c r="D231" s="42"/>
      <c r="E231" s="42"/>
    </row>
    <row r="232" ht="15.75" customHeight="1">
      <c r="D232" s="42"/>
      <c r="E232" s="42"/>
    </row>
    <row r="233" ht="15.75" customHeight="1">
      <c r="D233" s="42"/>
      <c r="E233" s="42"/>
    </row>
    <row r="234" ht="15.75" customHeight="1">
      <c r="D234" s="42"/>
      <c r="E234" s="42"/>
    </row>
    <row r="235" ht="15.75" customHeight="1">
      <c r="D235" s="42"/>
      <c r="E235" s="42"/>
    </row>
    <row r="236" ht="15.75" customHeight="1">
      <c r="D236" s="42"/>
      <c r="E236" s="42"/>
    </row>
    <row r="237" ht="15.75" customHeight="1">
      <c r="D237" s="42"/>
      <c r="E237" s="42"/>
    </row>
    <row r="238" ht="15.75" customHeight="1">
      <c r="D238" s="42"/>
      <c r="E238" s="42"/>
    </row>
    <row r="239" ht="15.75" customHeight="1">
      <c r="D239" s="42"/>
      <c r="E239" s="42"/>
    </row>
    <row r="240" ht="15.75" customHeight="1">
      <c r="D240" s="42"/>
      <c r="E240" s="42"/>
    </row>
    <row r="241" ht="15.75" customHeight="1">
      <c r="D241" s="42"/>
      <c r="E241" s="42"/>
    </row>
    <row r="242" ht="15.75" customHeight="1">
      <c r="D242" s="42"/>
      <c r="E242" s="42"/>
    </row>
    <row r="243" ht="15.75" customHeight="1">
      <c r="D243" s="42"/>
      <c r="E243" s="42"/>
    </row>
    <row r="244" ht="15.75" customHeight="1">
      <c r="D244" s="42"/>
      <c r="E244" s="42"/>
    </row>
    <row r="245" ht="15.75" customHeight="1">
      <c r="D245" s="42"/>
      <c r="E245" s="42"/>
    </row>
    <row r="246" ht="15.75" customHeight="1">
      <c r="D246" s="42"/>
      <c r="E246" s="42"/>
    </row>
    <row r="247" ht="15.75" customHeight="1">
      <c r="D247" s="42"/>
      <c r="E247" s="42"/>
    </row>
    <row r="248" ht="15.75" customHeight="1">
      <c r="D248" s="42"/>
      <c r="E248" s="42"/>
    </row>
    <row r="249" ht="15.75" customHeight="1">
      <c r="D249" s="42"/>
      <c r="E249" s="42"/>
    </row>
    <row r="250" ht="15.75" customHeight="1">
      <c r="D250" s="42"/>
      <c r="E250" s="42"/>
    </row>
    <row r="251" ht="15.75" customHeight="1">
      <c r="D251" s="42"/>
      <c r="E251" s="42"/>
    </row>
    <row r="252" ht="15.75" customHeight="1">
      <c r="D252" s="42"/>
      <c r="E252" s="42"/>
    </row>
    <row r="253" ht="15.75" customHeight="1">
      <c r="D253" s="42"/>
      <c r="E253" s="42"/>
    </row>
    <row r="254" ht="15.75" customHeight="1">
      <c r="D254" s="42"/>
      <c r="E254" s="42"/>
    </row>
    <row r="255" ht="15.75" customHeight="1">
      <c r="D255" s="42"/>
      <c r="E255" s="42"/>
    </row>
    <row r="256" ht="15.75" customHeight="1">
      <c r="D256" s="42"/>
      <c r="E256" s="42"/>
    </row>
    <row r="257" ht="15.75" customHeight="1">
      <c r="D257" s="42"/>
      <c r="E257" s="42"/>
    </row>
    <row r="258" ht="15.75" customHeight="1">
      <c r="D258" s="42"/>
      <c r="E258" s="42"/>
    </row>
    <row r="259" ht="15.75" customHeight="1">
      <c r="D259" s="42"/>
      <c r="E259" s="42"/>
    </row>
    <row r="260" ht="15.75" customHeight="1">
      <c r="D260" s="42"/>
      <c r="E260" s="42"/>
    </row>
    <row r="261" ht="15.75" customHeight="1">
      <c r="D261" s="42"/>
      <c r="E261" s="42"/>
    </row>
    <row r="262" ht="15.75" customHeight="1">
      <c r="D262" s="42"/>
      <c r="E262" s="42"/>
    </row>
    <row r="263" ht="15.75" customHeight="1">
      <c r="D263" s="42"/>
      <c r="E263" s="42"/>
    </row>
    <row r="264" ht="15.75" customHeight="1">
      <c r="D264" s="42"/>
      <c r="E264" s="42"/>
    </row>
    <row r="265" ht="15.75" customHeight="1">
      <c r="D265" s="42"/>
      <c r="E265" s="42"/>
    </row>
    <row r="266" ht="15.75" customHeight="1">
      <c r="D266" s="42"/>
      <c r="E266" s="42"/>
    </row>
    <row r="267" ht="15.75" customHeight="1">
      <c r="D267" s="42"/>
      <c r="E267" s="42"/>
    </row>
    <row r="268" ht="15.75" customHeight="1">
      <c r="D268" s="42"/>
      <c r="E268" s="42"/>
    </row>
    <row r="269" ht="15.75" customHeight="1">
      <c r="D269" s="42"/>
      <c r="E269" s="42"/>
    </row>
    <row r="270" ht="15.75" customHeight="1">
      <c r="D270" s="42"/>
      <c r="E270" s="42"/>
    </row>
    <row r="271" ht="15.75" customHeight="1">
      <c r="D271" s="42"/>
      <c r="E271" s="42"/>
    </row>
    <row r="272" ht="15.75" customHeight="1">
      <c r="D272" s="42"/>
      <c r="E272" s="42"/>
    </row>
    <row r="273" ht="15.75" customHeight="1">
      <c r="D273" s="42"/>
      <c r="E273" s="42"/>
    </row>
    <row r="274" ht="15.75" customHeight="1">
      <c r="D274" s="42"/>
      <c r="E274" s="42"/>
    </row>
    <row r="275" ht="15.75" customHeight="1">
      <c r="D275" s="42"/>
      <c r="E275" s="42"/>
    </row>
    <row r="276" ht="15.75" customHeight="1">
      <c r="D276" s="42"/>
      <c r="E276" s="42"/>
    </row>
    <row r="277" ht="15.75" customHeight="1">
      <c r="D277" s="42"/>
      <c r="E277" s="42"/>
    </row>
    <row r="278" ht="15.75" customHeight="1">
      <c r="D278" s="42"/>
      <c r="E278" s="42"/>
    </row>
    <row r="279" ht="15.75" customHeight="1">
      <c r="D279" s="42"/>
      <c r="E279" s="42"/>
    </row>
    <row r="280" ht="15.75" customHeight="1">
      <c r="D280" s="42"/>
      <c r="E280" s="42"/>
    </row>
    <row r="281" ht="15.75" customHeight="1">
      <c r="D281" s="42"/>
      <c r="E281" s="42"/>
    </row>
    <row r="282" ht="15.75" customHeight="1">
      <c r="D282" s="42"/>
      <c r="E282" s="42"/>
    </row>
    <row r="283" ht="15.75" customHeight="1">
      <c r="D283" s="42"/>
      <c r="E283" s="42"/>
    </row>
    <row r="284" ht="15.75" customHeight="1">
      <c r="D284" s="42"/>
      <c r="E284" s="42"/>
    </row>
    <row r="285" ht="15.75" customHeight="1">
      <c r="D285" s="42"/>
      <c r="E285" s="42"/>
    </row>
    <row r="286" ht="15.75" customHeight="1">
      <c r="D286" s="42"/>
      <c r="E286" s="42"/>
    </row>
    <row r="287" ht="15.75" customHeight="1">
      <c r="D287" s="42"/>
      <c r="E287" s="42"/>
    </row>
    <row r="288" ht="15.75" customHeight="1">
      <c r="D288" s="42"/>
      <c r="E288" s="42"/>
    </row>
    <row r="289" ht="15.75" customHeight="1">
      <c r="D289" s="42"/>
      <c r="E289" s="42"/>
    </row>
    <row r="290" ht="15.75" customHeight="1">
      <c r="D290" s="42"/>
      <c r="E290" s="42"/>
    </row>
    <row r="291" ht="15.75" customHeight="1">
      <c r="D291" s="42"/>
      <c r="E291" s="42"/>
    </row>
    <row r="292" ht="15.75" customHeight="1">
      <c r="D292" s="42"/>
      <c r="E292" s="42"/>
    </row>
    <row r="293" ht="15.75" customHeight="1">
      <c r="D293" s="42"/>
      <c r="E293" s="42"/>
    </row>
    <row r="294" ht="15.75" customHeight="1">
      <c r="D294" s="42"/>
      <c r="E294" s="42"/>
    </row>
    <row r="295" ht="15.75" customHeight="1">
      <c r="D295" s="42"/>
      <c r="E295" s="42"/>
    </row>
    <row r="296" ht="15.75" customHeight="1">
      <c r="D296" s="42"/>
      <c r="E296" s="42"/>
    </row>
    <row r="297" ht="15.75" customHeight="1">
      <c r="D297" s="42"/>
      <c r="E297" s="42"/>
    </row>
    <row r="298" ht="15.75" customHeight="1">
      <c r="D298" s="42"/>
      <c r="E298" s="42"/>
    </row>
    <row r="299" ht="15.75" customHeight="1">
      <c r="D299" s="42"/>
      <c r="E299" s="42"/>
    </row>
    <row r="300" ht="15.75" customHeight="1">
      <c r="D300" s="42"/>
      <c r="E300" s="42"/>
    </row>
    <row r="301" ht="15.75" customHeight="1">
      <c r="D301" s="42"/>
      <c r="E301" s="42"/>
    </row>
    <row r="302" ht="15.75" customHeight="1">
      <c r="D302" s="42"/>
      <c r="E302" s="42"/>
    </row>
    <row r="303" ht="15.75" customHeight="1">
      <c r="D303" s="42"/>
      <c r="E303" s="42"/>
    </row>
    <row r="304" ht="15.75" customHeight="1">
      <c r="D304" s="42"/>
      <c r="E304" s="42"/>
    </row>
    <row r="305" ht="15.75" customHeight="1">
      <c r="D305" s="42"/>
      <c r="E305" s="42"/>
    </row>
    <row r="306" ht="15.75" customHeight="1">
      <c r="D306" s="42"/>
      <c r="E306" s="42"/>
    </row>
    <row r="307" ht="15.75" customHeight="1">
      <c r="D307" s="42"/>
      <c r="E307" s="42"/>
    </row>
    <row r="308" ht="15.75" customHeight="1">
      <c r="D308" s="42"/>
      <c r="E308" s="42"/>
    </row>
    <row r="309" ht="15.75" customHeight="1">
      <c r="D309" s="42"/>
      <c r="E309" s="42"/>
    </row>
    <row r="310" ht="15.75" customHeight="1">
      <c r="D310" s="42"/>
      <c r="E310" s="42"/>
    </row>
    <row r="311" ht="15.75" customHeight="1">
      <c r="D311" s="42"/>
      <c r="E311" s="42"/>
    </row>
    <row r="312" ht="15.75" customHeight="1">
      <c r="D312" s="42"/>
      <c r="E312" s="42"/>
    </row>
    <row r="313" ht="15.75" customHeight="1">
      <c r="D313" s="42"/>
      <c r="E313" s="42"/>
    </row>
    <row r="314" ht="15.75" customHeight="1">
      <c r="D314" s="42"/>
      <c r="E314" s="42"/>
    </row>
    <row r="315" ht="15.75" customHeight="1">
      <c r="D315" s="42"/>
      <c r="E315" s="42"/>
    </row>
    <row r="316" ht="15.75" customHeight="1">
      <c r="D316" s="42"/>
      <c r="E316" s="42"/>
    </row>
    <row r="317" ht="15.75" customHeight="1">
      <c r="D317" s="42"/>
      <c r="E317" s="42"/>
    </row>
    <row r="318" ht="15.75" customHeight="1">
      <c r="D318" s="42"/>
      <c r="E318" s="42"/>
    </row>
    <row r="319" ht="15.75" customHeight="1">
      <c r="D319" s="42"/>
      <c r="E319" s="42"/>
    </row>
    <row r="320" ht="15.75" customHeight="1">
      <c r="D320" s="42"/>
      <c r="E320" s="42"/>
    </row>
    <row r="321" ht="15.75" customHeight="1">
      <c r="D321" s="42"/>
      <c r="E321" s="42"/>
    </row>
    <row r="322" ht="15.75" customHeight="1">
      <c r="D322" s="42"/>
      <c r="E322" s="42"/>
    </row>
    <row r="323" ht="15.75" customHeight="1">
      <c r="D323" s="42"/>
      <c r="E323" s="42"/>
    </row>
    <row r="324" ht="15.75" customHeight="1">
      <c r="D324" s="42"/>
      <c r="E324" s="42"/>
    </row>
    <row r="325" ht="15.75" customHeight="1">
      <c r="D325" s="42"/>
      <c r="E325" s="42"/>
    </row>
    <row r="326" ht="15.75" customHeight="1">
      <c r="D326" s="42"/>
      <c r="E326" s="42"/>
    </row>
    <row r="327" ht="15.75" customHeight="1">
      <c r="D327" s="42"/>
      <c r="E327" s="42"/>
    </row>
    <row r="328" ht="15.75" customHeight="1">
      <c r="D328" s="42"/>
      <c r="E328" s="42"/>
    </row>
    <row r="329" ht="15.75" customHeight="1">
      <c r="D329" s="42"/>
      <c r="E329" s="42"/>
    </row>
    <row r="330" ht="15.75" customHeight="1">
      <c r="D330" s="42"/>
      <c r="E330" s="42"/>
    </row>
    <row r="331" ht="15.75" customHeight="1">
      <c r="D331" s="42"/>
      <c r="E331" s="42"/>
    </row>
    <row r="332" ht="15.75" customHeight="1">
      <c r="D332" s="42"/>
      <c r="E332" s="42"/>
    </row>
    <row r="333" ht="15.75" customHeight="1">
      <c r="D333" s="42"/>
      <c r="E333" s="42"/>
    </row>
    <row r="334" ht="15.75" customHeight="1">
      <c r="D334" s="42"/>
      <c r="E334" s="42"/>
    </row>
    <row r="335" ht="15.75" customHeight="1">
      <c r="D335" s="42"/>
      <c r="E335" s="42"/>
    </row>
    <row r="336" ht="15.75" customHeight="1">
      <c r="D336" s="42"/>
      <c r="E336" s="42"/>
    </row>
    <row r="337" ht="15.75" customHeight="1">
      <c r="D337" s="42"/>
      <c r="E337" s="42"/>
    </row>
    <row r="338" ht="15.75" customHeight="1">
      <c r="D338" s="42"/>
      <c r="E338" s="42"/>
    </row>
    <row r="339" ht="15.75" customHeight="1">
      <c r="D339" s="42"/>
      <c r="E339" s="42"/>
    </row>
    <row r="340" ht="15.75" customHeight="1">
      <c r="D340" s="42"/>
      <c r="E340" s="42"/>
    </row>
    <row r="341" ht="15.75" customHeight="1">
      <c r="D341" s="42"/>
      <c r="E341" s="42"/>
    </row>
    <row r="342" ht="15.75" customHeight="1">
      <c r="D342" s="42"/>
      <c r="E342" s="42"/>
    </row>
    <row r="343" ht="15.75" customHeight="1">
      <c r="D343" s="42"/>
      <c r="E343" s="42"/>
    </row>
    <row r="344" ht="15.75" customHeight="1">
      <c r="D344" s="42"/>
      <c r="E344" s="42"/>
    </row>
    <row r="345" ht="15.75" customHeight="1">
      <c r="D345" s="42"/>
      <c r="E345" s="42"/>
    </row>
    <row r="346" ht="15.75" customHeight="1">
      <c r="D346" s="42"/>
      <c r="E346" s="42"/>
    </row>
    <row r="347" ht="15.75" customHeight="1">
      <c r="D347" s="42"/>
      <c r="E347" s="42"/>
    </row>
    <row r="348" ht="15.75" customHeight="1">
      <c r="D348" s="42"/>
      <c r="E348" s="42"/>
    </row>
    <row r="349" ht="15.75" customHeight="1">
      <c r="D349" s="42"/>
      <c r="E349" s="42"/>
    </row>
    <row r="350" ht="15.75" customHeight="1">
      <c r="D350" s="42"/>
      <c r="E350" s="42"/>
    </row>
    <row r="351" ht="15.75" customHeight="1">
      <c r="D351" s="42"/>
      <c r="E351" s="42"/>
    </row>
    <row r="352" ht="15.75" customHeight="1">
      <c r="D352" s="42"/>
      <c r="E352" s="42"/>
    </row>
    <row r="353" ht="15.75" customHeight="1">
      <c r="D353" s="42"/>
      <c r="E353" s="42"/>
    </row>
    <row r="354" ht="15.75" customHeight="1">
      <c r="D354" s="42"/>
      <c r="E354" s="42"/>
    </row>
    <row r="355" ht="15.75" customHeight="1">
      <c r="D355" s="42"/>
      <c r="E355" s="42"/>
    </row>
    <row r="356" ht="15.75" customHeight="1">
      <c r="D356" s="42"/>
      <c r="E356" s="42"/>
    </row>
    <row r="357" ht="15.75" customHeight="1">
      <c r="D357" s="42"/>
      <c r="E357" s="42"/>
    </row>
    <row r="358" ht="15.75" customHeight="1">
      <c r="D358" s="42"/>
      <c r="E358" s="42"/>
    </row>
    <row r="359" ht="15.75" customHeight="1">
      <c r="D359" s="42"/>
      <c r="E359" s="42"/>
    </row>
    <row r="360" ht="15.75" customHeight="1">
      <c r="D360" s="42"/>
      <c r="E360" s="42"/>
    </row>
    <row r="361" ht="15.75" customHeight="1">
      <c r="D361" s="42"/>
      <c r="E361" s="42"/>
    </row>
    <row r="362" ht="15.75" customHeight="1">
      <c r="D362" s="42"/>
      <c r="E362" s="42"/>
    </row>
    <row r="363" ht="15.75" customHeight="1">
      <c r="D363" s="42"/>
      <c r="E363" s="42"/>
    </row>
    <row r="364" ht="15.75" customHeight="1">
      <c r="D364" s="42"/>
      <c r="E364" s="42"/>
    </row>
    <row r="365" ht="15.75" customHeight="1">
      <c r="D365" s="42"/>
      <c r="E365" s="42"/>
    </row>
    <row r="366" ht="15.75" customHeight="1">
      <c r="D366" s="42"/>
      <c r="E366" s="42"/>
    </row>
    <row r="367" ht="15.75" customHeight="1">
      <c r="D367" s="42"/>
      <c r="E367" s="42"/>
    </row>
    <row r="368" ht="15.75" customHeight="1">
      <c r="D368" s="42"/>
      <c r="E368" s="42"/>
    </row>
    <row r="369" ht="15.75" customHeight="1">
      <c r="D369" s="42"/>
      <c r="E369" s="42"/>
    </row>
    <row r="370" ht="15.75" customHeight="1">
      <c r="D370" s="42"/>
      <c r="E370" s="42"/>
    </row>
    <row r="371" ht="15.75" customHeight="1">
      <c r="D371" s="42"/>
      <c r="E371" s="42"/>
    </row>
    <row r="372" ht="15.75" customHeight="1">
      <c r="D372" s="42"/>
      <c r="E372" s="42"/>
    </row>
    <row r="373" ht="15.75" customHeight="1">
      <c r="D373" s="42"/>
      <c r="E373" s="42"/>
    </row>
    <row r="374" ht="15.75" customHeight="1">
      <c r="D374" s="42"/>
      <c r="E374" s="42"/>
    </row>
    <row r="375" ht="15.75" customHeight="1">
      <c r="D375" s="42"/>
      <c r="E375" s="42"/>
    </row>
    <row r="376" ht="15.75" customHeight="1">
      <c r="D376" s="42"/>
      <c r="E376" s="42"/>
    </row>
    <row r="377" ht="15.75" customHeight="1">
      <c r="D377" s="42"/>
      <c r="E377" s="42"/>
    </row>
    <row r="378" ht="15.75" customHeight="1">
      <c r="D378" s="42"/>
      <c r="E378" s="42"/>
    </row>
    <row r="379" ht="15.75" customHeight="1">
      <c r="D379" s="42"/>
      <c r="E379" s="42"/>
    </row>
    <row r="380" ht="15.75" customHeight="1">
      <c r="D380" s="42"/>
      <c r="E380" s="42"/>
    </row>
    <row r="381" ht="15.75" customHeight="1">
      <c r="D381" s="42"/>
      <c r="E381" s="42"/>
    </row>
    <row r="382" ht="15.75" customHeight="1">
      <c r="D382" s="42"/>
      <c r="E382" s="42"/>
    </row>
    <row r="383" ht="15.75" customHeight="1">
      <c r="D383" s="42"/>
      <c r="E383" s="42"/>
    </row>
    <row r="384" ht="15.75" customHeight="1">
      <c r="D384" s="42"/>
      <c r="E384" s="42"/>
    </row>
    <row r="385" ht="15.75" customHeight="1">
      <c r="D385" s="42"/>
      <c r="E385" s="42"/>
    </row>
    <row r="386" ht="15.75" customHeight="1">
      <c r="D386" s="42"/>
      <c r="E386" s="42"/>
    </row>
    <row r="387" ht="15.75" customHeight="1">
      <c r="D387" s="42"/>
      <c r="E387" s="42"/>
    </row>
    <row r="388" ht="15.75" customHeight="1">
      <c r="D388" s="42"/>
      <c r="E388" s="42"/>
    </row>
    <row r="389" ht="15.75" customHeight="1">
      <c r="D389" s="42"/>
      <c r="E389" s="42"/>
    </row>
    <row r="390" ht="15.75" customHeight="1">
      <c r="D390" s="42"/>
      <c r="E390" s="42"/>
    </row>
    <row r="391" ht="15.75" customHeight="1">
      <c r="D391" s="42"/>
      <c r="E391" s="42"/>
    </row>
    <row r="392" ht="15.75" customHeight="1">
      <c r="D392" s="42"/>
      <c r="E392" s="42"/>
    </row>
    <row r="393" ht="15.75" customHeight="1">
      <c r="D393" s="42"/>
      <c r="E393" s="42"/>
    </row>
    <row r="394" ht="15.75" customHeight="1">
      <c r="D394" s="42"/>
      <c r="E394" s="42"/>
    </row>
    <row r="395" ht="15.75" customHeight="1">
      <c r="D395" s="42"/>
      <c r="E395" s="42"/>
    </row>
    <row r="396" ht="15.75" customHeight="1">
      <c r="D396" s="42"/>
      <c r="E396" s="42"/>
    </row>
    <row r="397" ht="15.75" customHeight="1">
      <c r="D397" s="42"/>
      <c r="E397" s="42"/>
    </row>
    <row r="398" ht="15.75" customHeight="1">
      <c r="D398" s="42"/>
      <c r="E398" s="42"/>
    </row>
    <row r="399" ht="15.75" customHeight="1">
      <c r="D399" s="42"/>
      <c r="E399" s="42"/>
    </row>
    <row r="400" ht="15.75" customHeight="1">
      <c r="D400" s="42"/>
      <c r="E400" s="42"/>
    </row>
    <row r="401" ht="15.75" customHeight="1">
      <c r="D401" s="42"/>
      <c r="E401" s="42"/>
    </row>
    <row r="402" ht="15.75" customHeight="1">
      <c r="D402" s="42"/>
      <c r="E402" s="42"/>
    </row>
    <row r="403" ht="15.75" customHeight="1">
      <c r="D403" s="42"/>
      <c r="E403" s="42"/>
    </row>
    <row r="404" ht="15.75" customHeight="1">
      <c r="D404" s="42"/>
      <c r="E404" s="42"/>
    </row>
    <row r="405" ht="15.75" customHeight="1">
      <c r="D405" s="42"/>
      <c r="E405" s="42"/>
    </row>
    <row r="406" ht="15.75" customHeight="1">
      <c r="D406" s="42"/>
      <c r="E406" s="42"/>
    </row>
    <row r="407" ht="15.75" customHeight="1">
      <c r="D407" s="42"/>
      <c r="E407" s="42"/>
    </row>
    <row r="408" ht="15.75" customHeight="1">
      <c r="D408" s="42"/>
      <c r="E408" s="42"/>
    </row>
    <row r="409" ht="15.75" customHeight="1">
      <c r="D409" s="42"/>
      <c r="E409" s="42"/>
    </row>
    <row r="410" ht="15.75" customHeight="1">
      <c r="D410" s="42"/>
      <c r="E410" s="42"/>
    </row>
    <row r="411" ht="15.75" customHeight="1">
      <c r="D411" s="42"/>
      <c r="E411" s="42"/>
    </row>
    <row r="412" ht="15.75" customHeight="1">
      <c r="D412" s="42"/>
      <c r="E412" s="42"/>
    </row>
    <row r="413" ht="15.75" customHeight="1">
      <c r="D413" s="42"/>
      <c r="E413" s="42"/>
    </row>
    <row r="414" ht="15.75" customHeight="1">
      <c r="D414" s="42"/>
      <c r="E414" s="42"/>
    </row>
    <row r="415" ht="15.75" customHeight="1">
      <c r="D415" s="42"/>
      <c r="E415" s="42"/>
    </row>
    <row r="416" ht="15.75" customHeight="1">
      <c r="D416" s="42"/>
      <c r="E416" s="42"/>
    </row>
    <row r="417" ht="15.75" customHeight="1">
      <c r="D417" s="42"/>
      <c r="E417" s="42"/>
    </row>
    <row r="418" ht="15.75" customHeight="1">
      <c r="D418" s="42"/>
      <c r="E418" s="42"/>
    </row>
    <row r="419" ht="15.75" customHeight="1">
      <c r="D419" s="42"/>
      <c r="E419" s="42"/>
    </row>
    <row r="420" ht="15.75" customHeight="1">
      <c r="D420" s="42"/>
      <c r="E420" s="42"/>
    </row>
    <row r="421" ht="15.75" customHeight="1">
      <c r="D421" s="42"/>
      <c r="E421" s="42"/>
    </row>
    <row r="422" ht="15.75" customHeight="1">
      <c r="D422" s="42"/>
      <c r="E422" s="42"/>
    </row>
    <row r="423" ht="15.75" customHeight="1">
      <c r="D423" s="42"/>
      <c r="E423" s="42"/>
    </row>
    <row r="424" ht="15.75" customHeight="1">
      <c r="D424" s="42"/>
      <c r="E424" s="42"/>
    </row>
    <row r="425" ht="15.75" customHeight="1">
      <c r="D425" s="42"/>
      <c r="E425" s="42"/>
    </row>
    <row r="426" ht="15.75" customHeight="1">
      <c r="D426" s="42"/>
      <c r="E426" s="42"/>
    </row>
    <row r="427" ht="15.75" customHeight="1">
      <c r="D427" s="42"/>
      <c r="E427" s="42"/>
    </row>
    <row r="428" ht="15.75" customHeight="1">
      <c r="D428" s="42"/>
      <c r="E428" s="42"/>
    </row>
    <row r="429" ht="15.75" customHeight="1">
      <c r="D429" s="42"/>
      <c r="E429" s="42"/>
    </row>
    <row r="430" ht="15.75" customHeight="1">
      <c r="D430" s="42"/>
      <c r="E430" s="42"/>
    </row>
    <row r="431" ht="15.75" customHeight="1">
      <c r="D431" s="42"/>
      <c r="E431" s="42"/>
    </row>
    <row r="432" ht="15.75" customHeight="1">
      <c r="D432" s="42"/>
      <c r="E432" s="42"/>
    </row>
    <row r="433" ht="15.75" customHeight="1">
      <c r="D433" s="42"/>
      <c r="E433" s="42"/>
    </row>
    <row r="434" ht="15.75" customHeight="1">
      <c r="D434" s="42"/>
      <c r="E434" s="42"/>
    </row>
    <row r="435" ht="15.75" customHeight="1">
      <c r="D435" s="42"/>
      <c r="E435" s="42"/>
    </row>
    <row r="436" ht="15.75" customHeight="1">
      <c r="D436" s="42"/>
      <c r="E436" s="42"/>
    </row>
    <row r="437" ht="15.75" customHeight="1">
      <c r="D437" s="42"/>
      <c r="E437" s="42"/>
    </row>
    <row r="438" ht="15.75" customHeight="1">
      <c r="D438" s="42"/>
      <c r="E438" s="42"/>
    </row>
    <row r="439" ht="15.75" customHeight="1">
      <c r="D439" s="42"/>
      <c r="E439" s="42"/>
    </row>
    <row r="440" ht="15.75" customHeight="1">
      <c r="D440" s="42"/>
      <c r="E440" s="42"/>
    </row>
    <row r="441" ht="15.75" customHeight="1">
      <c r="D441" s="42"/>
      <c r="E441" s="42"/>
    </row>
    <row r="442" ht="15.75" customHeight="1">
      <c r="D442" s="42"/>
      <c r="E442" s="42"/>
    </row>
    <row r="443" ht="15.75" customHeight="1">
      <c r="D443" s="42"/>
      <c r="E443" s="42"/>
    </row>
    <row r="444" ht="15.75" customHeight="1">
      <c r="D444" s="42"/>
      <c r="E444" s="42"/>
    </row>
    <row r="445" ht="15.75" customHeight="1">
      <c r="D445" s="42"/>
      <c r="E445" s="42"/>
    </row>
    <row r="446" ht="15.75" customHeight="1">
      <c r="D446" s="42"/>
      <c r="E446" s="42"/>
    </row>
    <row r="447" ht="15.75" customHeight="1">
      <c r="D447" s="42"/>
      <c r="E447" s="42"/>
    </row>
    <row r="448" ht="15.75" customHeight="1">
      <c r="D448" s="42"/>
      <c r="E448" s="42"/>
    </row>
    <row r="449" ht="15.75" customHeight="1">
      <c r="D449" s="42"/>
      <c r="E449" s="42"/>
    </row>
    <row r="450" ht="15.75" customHeight="1">
      <c r="D450" s="42"/>
      <c r="E450" s="42"/>
    </row>
    <row r="451" ht="15.75" customHeight="1">
      <c r="D451" s="42"/>
      <c r="E451" s="42"/>
    </row>
    <row r="452" ht="15.75" customHeight="1">
      <c r="D452" s="42"/>
      <c r="E452" s="42"/>
    </row>
    <row r="453" ht="15.75" customHeight="1">
      <c r="D453" s="42"/>
      <c r="E453" s="42"/>
    </row>
    <row r="454" ht="15.75" customHeight="1">
      <c r="D454" s="42"/>
      <c r="E454" s="42"/>
    </row>
    <row r="455" ht="15.75" customHeight="1">
      <c r="D455" s="42"/>
      <c r="E455" s="42"/>
    </row>
    <row r="456" ht="15.75" customHeight="1">
      <c r="D456" s="42"/>
      <c r="E456" s="42"/>
    </row>
    <row r="457" ht="15.75" customHeight="1">
      <c r="D457" s="42"/>
      <c r="E457" s="42"/>
    </row>
    <row r="458" ht="15.75" customHeight="1">
      <c r="D458" s="42"/>
      <c r="E458" s="42"/>
    </row>
    <row r="459" ht="15.75" customHeight="1">
      <c r="D459" s="42"/>
      <c r="E459" s="42"/>
    </row>
    <row r="460" ht="15.75" customHeight="1">
      <c r="D460" s="42"/>
      <c r="E460" s="42"/>
    </row>
    <row r="461" ht="15.75" customHeight="1">
      <c r="D461" s="42"/>
      <c r="E461" s="42"/>
    </row>
    <row r="462" ht="15.75" customHeight="1">
      <c r="D462" s="42"/>
      <c r="E462" s="42"/>
    </row>
    <row r="463" ht="15.75" customHeight="1">
      <c r="D463" s="42"/>
      <c r="E463" s="42"/>
    </row>
    <row r="464" ht="15.75" customHeight="1">
      <c r="D464" s="42"/>
      <c r="E464" s="42"/>
    </row>
    <row r="465" ht="15.75" customHeight="1">
      <c r="D465" s="42"/>
      <c r="E465" s="42"/>
    </row>
    <row r="466" ht="15.75" customHeight="1">
      <c r="D466" s="42"/>
      <c r="E466" s="42"/>
    </row>
    <row r="467" ht="15.75" customHeight="1">
      <c r="D467" s="42"/>
      <c r="E467" s="42"/>
    </row>
    <row r="468" ht="15.75" customHeight="1">
      <c r="D468" s="42"/>
      <c r="E468" s="42"/>
    </row>
    <row r="469" ht="15.75" customHeight="1">
      <c r="D469" s="42"/>
      <c r="E469" s="42"/>
    </row>
    <row r="470" ht="15.75" customHeight="1">
      <c r="D470" s="42"/>
      <c r="E470" s="42"/>
    </row>
    <row r="471" ht="15.75" customHeight="1">
      <c r="D471" s="42"/>
      <c r="E471" s="42"/>
    </row>
    <row r="472" ht="15.75" customHeight="1">
      <c r="D472" s="42"/>
      <c r="E472" s="42"/>
    </row>
    <row r="473" ht="15.75" customHeight="1">
      <c r="D473" s="42"/>
      <c r="E473" s="42"/>
    </row>
    <row r="474" ht="15.75" customHeight="1">
      <c r="D474" s="42"/>
      <c r="E474" s="42"/>
    </row>
    <row r="475" ht="15.75" customHeight="1">
      <c r="D475" s="42"/>
      <c r="E475" s="42"/>
    </row>
    <row r="476" ht="15.75" customHeight="1">
      <c r="D476" s="42"/>
      <c r="E476" s="42"/>
    </row>
    <row r="477" ht="15.75" customHeight="1">
      <c r="D477" s="42"/>
      <c r="E477" s="42"/>
    </row>
    <row r="478" ht="15.75" customHeight="1">
      <c r="D478" s="42"/>
      <c r="E478" s="42"/>
    </row>
    <row r="479" ht="15.75" customHeight="1">
      <c r="D479" s="42"/>
      <c r="E479" s="42"/>
    </row>
    <row r="480" ht="15.75" customHeight="1">
      <c r="D480" s="42"/>
      <c r="E480" s="42"/>
    </row>
    <row r="481" ht="15.75" customHeight="1">
      <c r="D481" s="42"/>
      <c r="E481" s="42"/>
    </row>
    <row r="482" ht="15.75" customHeight="1">
      <c r="D482" s="42"/>
      <c r="E482" s="42"/>
    </row>
    <row r="483" ht="15.75" customHeight="1">
      <c r="D483" s="42"/>
      <c r="E483" s="42"/>
    </row>
    <row r="484" ht="15.75" customHeight="1">
      <c r="D484" s="42"/>
      <c r="E484" s="42"/>
    </row>
    <row r="485" ht="15.75" customHeight="1">
      <c r="D485" s="42"/>
      <c r="E485" s="42"/>
    </row>
    <row r="486" ht="15.75" customHeight="1">
      <c r="D486" s="42"/>
      <c r="E486" s="42"/>
    </row>
    <row r="487" ht="15.75" customHeight="1">
      <c r="D487" s="42"/>
      <c r="E487" s="42"/>
    </row>
    <row r="488" ht="15.75" customHeight="1">
      <c r="D488" s="42"/>
      <c r="E488" s="42"/>
    </row>
    <row r="489" ht="15.75" customHeight="1">
      <c r="D489" s="42"/>
      <c r="E489" s="42"/>
    </row>
    <row r="490" ht="15.75" customHeight="1">
      <c r="D490" s="42"/>
      <c r="E490" s="42"/>
    </row>
    <row r="491" ht="15.75" customHeight="1">
      <c r="D491" s="42"/>
      <c r="E491" s="42"/>
    </row>
    <row r="492" ht="15.75" customHeight="1">
      <c r="D492" s="42"/>
      <c r="E492" s="42"/>
    </row>
    <row r="493" ht="15.75" customHeight="1">
      <c r="D493" s="42"/>
      <c r="E493" s="42"/>
    </row>
    <row r="494" ht="15.75" customHeight="1">
      <c r="D494" s="42"/>
      <c r="E494" s="42"/>
    </row>
    <row r="495" ht="15.75" customHeight="1">
      <c r="D495" s="42"/>
      <c r="E495" s="42"/>
    </row>
    <row r="496" ht="15.75" customHeight="1">
      <c r="D496" s="42"/>
      <c r="E496" s="42"/>
    </row>
    <row r="497" ht="15.75" customHeight="1">
      <c r="D497" s="42"/>
      <c r="E497" s="42"/>
    </row>
    <row r="498" ht="15.75" customHeight="1">
      <c r="D498" s="42"/>
      <c r="E498" s="42"/>
    </row>
    <row r="499" ht="15.75" customHeight="1">
      <c r="D499" s="42"/>
      <c r="E499" s="42"/>
    </row>
    <row r="500" ht="15.75" customHeight="1">
      <c r="D500" s="42"/>
      <c r="E500" s="42"/>
    </row>
    <row r="501" ht="15.75" customHeight="1">
      <c r="D501" s="42"/>
      <c r="E501" s="42"/>
    </row>
    <row r="502" ht="15.75" customHeight="1">
      <c r="D502" s="42"/>
      <c r="E502" s="42"/>
    </row>
    <row r="503" ht="15.75" customHeight="1">
      <c r="D503" s="42"/>
      <c r="E503" s="42"/>
    </row>
    <row r="504" ht="15.75" customHeight="1">
      <c r="D504" s="42"/>
      <c r="E504" s="42"/>
    </row>
    <row r="505" ht="15.75" customHeight="1">
      <c r="D505" s="42"/>
      <c r="E505" s="42"/>
    </row>
    <row r="506" ht="15.75" customHeight="1">
      <c r="D506" s="42"/>
      <c r="E506" s="42"/>
    </row>
    <row r="507" ht="15.75" customHeight="1">
      <c r="D507" s="42"/>
      <c r="E507" s="42"/>
    </row>
    <row r="508" ht="15.75" customHeight="1">
      <c r="D508" s="42"/>
      <c r="E508" s="42"/>
    </row>
    <row r="509" ht="15.75" customHeight="1">
      <c r="D509" s="42"/>
      <c r="E509" s="42"/>
    </row>
    <row r="510" ht="15.75" customHeight="1">
      <c r="D510" s="42"/>
      <c r="E510" s="42"/>
    </row>
    <row r="511" ht="15.75" customHeight="1">
      <c r="D511" s="42"/>
      <c r="E511" s="42"/>
    </row>
    <row r="512" ht="15.75" customHeight="1">
      <c r="D512" s="42"/>
      <c r="E512" s="42"/>
    </row>
    <row r="513" ht="15.75" customHeight="1">
      <c r="D513" s="42"/>
      <c r="E513" s="42"/>
    </row>
    <row r="514" ht="15.75" customHeight="1">
      <c r="D514" s="42"/>
      <c r="E514" s="42"/>
    </row>
    <row r="515" ht="15.75" customHeight="1">
      <c r="D515" s="42"/>
      <c r="E515" s="42"/>
    </row>
    <row r="516" ht="15.75" customHeight="1">
      <c r="D516" s="42"/>
      <c r="E516" s="42"/>
    </row>
    <row r="517" ht="15.75" customHeight="1">
      <c r="D517" s="42"/>
      <c r="E517" s="42"/>
    </row>
    <row r="518" ht="15.75" customHeight="1">
      <c r="D518" s="42"/>
      <c r="E518" s="42"/>
    </row>
    <row r="519" ht="15.75" customHeight="1">
      <c r="D519" s="42"/>
      <c r="E519" s="42"/>
    </row>
    <row r="520" ht="15.75" customHeight="1">
      <c r="D520" s="42"/>
      <c r="E520" s="42"/>
    </row>
    <row r="521" ht="15.75" customHeight="1">
      <c r="D521" s="42"/>
      <c r="E521" s="42"/>
    </row>
    <row r="522" ht="15.75" customHeight="1">
      <c r="D522" s="42"/>
      <c r="E522" s="42"/>
    </row>
    <row r="523" ht="15.75" customHeight="1">
      <c r="D523" s="42"/>
      <c r="E523" s="42"/>
    </row>
    <row r="524" ht="15.75" customHeight="1">
      <c r="D524" s="42"/>
      <c r="E524" s="42"/>
    </row>
    <row r="525" ht="15.75" customHeight="1">
      <c r="D525" s="42"/>
      <c r="E525" s="42"/>
    </row>
    <row r="526" ht="15.75" customHeight="1">
      <c r="D526" s="42"/>
      <c r="E526" s="42"/>
    </row>
    <row r="527" ht="15.75" customHeight="1">
      <c r="D527" s="42"/>
      <c r="E527" s="42"/>
    </row>
    <row r="528" ht="15.75" customHeight="1">
      <c r="D528" s="42"/>
      <c r="E528" s="42"/>
    </row>
    <row r="529" ht="15.75" customHeight="1">
      <c r="D529" s="42"/>
      <c r="E529" s="42"/>
    </row>
    <row r="530" ht="15.75" customHeight="1">
      <c r="D530" s="42"/>
      <c r="E530" s="42"/>
    </row>
    <row r="531" ht="15.75" customHeight="1">
      <c r="D531" s="42"/>
      <c r="E531" s="42"/>
    </row>
    <row r="532" ht="15.75" customHeight="1">
      <c r="D532" s="42"/>
      <c r="E532" s="42"/>
    </row>
    <row r="533" ht="15.75" customHeight="1">
      <c r="D533" s="42"/>
      <c r="E533" s="42"/>
    </row>
    <row r="534" ht="15.75" customHeight="1">
      <c r="D534" s="42"/>
      <c r="E534" s="42"/>
    </row>
    <row r="535" ht="15.75" customHeight="1">
      <c r="D535" s="42"/>
      <c r="E535" s="42"/>
    </row>
    <row r="536" ht="15.75" customHeight="1">
      <c r="D536" s="42"/>
      <c r="E536" s="42"/>
    </row>
    <row r="537" ht="15.75" customHeight="1">
      <c r="D537" s="42"/>
      <c r="E537" s="42"/>
    </row>
    <row r="538" ht="15.75" customHeight="1">
      <c r="D538" s="42"/>
      <c r="E538" s="42"/>
    </row>
    <row r="539" ht="15.75" customHeight="1">
      <c r="D539" s="42"/>
      <c r="E539" s="42"/>
    </row>
    <row r="540" ht="15.75" customHeight="1">
      <c r="D540" s="42"/>
      <c r="E540" s="42"/>
    </row>
    <row r="541" ht="15.75" customHeight="1">
      <c r="D541" s="42"/>
      <c r="E541" s="42"/>
    </row>
    <row r="542" ht="15.75" customHeight="1">
      <c r="D542" s="42"/>
      <c r="E542" s="42"/>
    </row>
    <row r="543" ht="15.75" customHeight="1">
      <c r="D543" s="42"/>
      <c r="E543" s="42"/>
    </row>
    <row r="544" ht="15.75" customHeight="1">
      <c r="D544" s="42"/>
      <c r="E544" s="42"/>
    </row>
    <row r="545" ht="15.75" customHeight="1">
      <c r="D545" s="42"/>
      <c r="E545" s="42"/>
    </row>
    <row r="546" ht="15.75" customHeight="1">
      <c r="D546" s="42"/>
      <c r="E546" s="42"/>
    </row>
    <row r="547" ht="15.75" customHeight="1">
      <c r="D547" s="42"/>
      <c r="E547" s="42"/>
    </row>
    <row r="548" ht="15.75" customHeight="1">
      <c r="D548" s="42"/>
      <c r="E548" s="42"/>
    </row>
    <row r="549" ht="15.75" customHeight="1">
      <c r="D549" s="42"/>
      <c r="E549" s="42"/>
    </row>
    <row r="550" ht="15.75" customHeight="1">
      <c r="D550" s="42"/>
      <c r="E550" s="42"/>
    </row>
    <row r="551" ht="15.75" customHeight="1">
      <c r="D551" s="42"/>
      <c r="E551" s="42"/>
    </row>
    <row r="552" ht="15.75" customHeight="1">
      <c r="D552" s="42"/>
      <c r="E552" s="42"/>
    </row>
    <row r="553" ht="15.75" customHeight="1">
      <c r="D553" s="42"/>
      <c r="E553" s="42"/>
    </row>
    <row r="554" ht="15.75" customHeight="1">
      <c r="D554" s="42"/>
      <c r="E554" s="42"/>
    </row>
    <row r="555" ht="15.75" customHeight="1">
      <c r="D555" s="42"/>
      <c r="E555" s="42"/>
    </row>
    <row r="556" ht="15.75" customHeight="1">
      <c r="D556" s="42"/>
      <c r="E556" s="42"/>
    </row>
    <row r="557" ht="15.75" customHeight="1">
      <c r="D557" s="42"/>
      <c r="E557" s="42"/>
    </row>
    <row r="558" ht="15.75" customHeight="1">
      <c r="D558" s="42"/>
      <c r="E558" s="42"/>
    </row>
    <row r="559" ht="15.75" customHeight="1">
      <c r="D559" s="42"/>
      <c r="E559" s="42"/>
    </row>
    <row r="560" ht="15.75" customHeight="1">
      <c r="D560" s="42"/>
      <c r="E560" s="42"/>
    </row>
    <row r="561" ht="15.75" customHeight="1">
      <c r="D561" s="42"/>
      <c r="E561" s="42"/>
    </row>
    <row r="562" ht="15.75" customHeight="1">
      <c r="D562" s="42"/>
      <c r="E562" s="42"/>
    </row>
    <row r="563" ht="15.75" customHeight="1">
      <c r="D563" s="42"/>
      <c r="E563" s="42"/>
    </row>
    <row r="564" ht="15.75" customHeight="1">
      <c r="D564" s="42"/>
      <c r="E564" s="42"/>
    </row>
    <row r="565" ht="15.75" customHeight="1">
      <c r="D565" s="42"/>
      <c r="E565" s="42"/>
    </row>
    <row r="566" ht="15.75" customHeight="1">
      <c r="D566" s="42"/>
      <c r="E566" s="42"/>
    </row>
    <row r="567" ht="15.75" customHeight="1">
      <c r="D567" s="42"/>
      <c r="E567" s="42"/>
    </row>
    <row r="568" ht="15.75" customHeight="1">
      <c r="D568" s="42"/>
      <c r="E568" s="42"/>
    </row>
    <row r="569" ht="15.75" customHeight="1">
      <c r="D569" s="42"/>
      <c r="E569" s="42"/>
    </row>
    <row r="570" ht="15.75" customHeight="1">
      <c r="D570" s="42"/>
      <c r="E570" s="42"/>
    </row>
    <row r="571" ht="15.75" customHeight="1">
      <c r="D571" s="42"/>
      <c r="E571" s="42"/>
    </row>
    <row r="572" ht="15.75" customHeight="1">
      <c r="D572" s="42"/>
      <c r="E572" s="42"/>
    </row>
    <row r="573" ht="15.75" customHeight="1">
      <c r="D573" s="42"/>
      <c r="E573" s="42"/>
    </row>
    <row r="574" ht="15.75" customHeight="1">
      <c r="D574" s="42"/>
      <c r="E574" s="42"/>
    </row>
    <row r="575" ht="15.75" customHeight="1">
      <c r="D575" s="42"/>
      <c r="E575" s="42"/>
    </row>
    <row r="576" ht="15.75" customHeight="1">
      <c r="D576" s="42"/>
      <c r="E576" s="42"/>
    </row>
    <row r="577" ht="15.75" customHeight="1">
      <c r="D577" s="42"/>
      <c r="E577" s="42"/>
    </row>
    <row r="578" ht="15.75" customHeight="1">
      <c r="D578" s="42"/>
      <c r="E578" s="42"/>
    </row>
    <row r="579" ht="15.75" customHeight="1">
      <c r="D579" s="42"/>
      <c r="E579" s="42"/>
    </row>
    <row r="580" ht="15.75" customHeight="1">
      <c r="D580" s="42"/>
      <c r="E580" s="42"/>
    </row>
    <row r="581" ht="15.75" customHeight="1">
      <c r="D581" s="42"/>
      <c r="E581" s="42"/>
    </row>
    <row r="582" ht="15.75" customHeight="1">
      <c r="D582" s="42"/>
      <c r="E582" s="42"/>
    </row>
    <row r="583" ht="15.75" customHeight="1">
      <c r="D583" s="42"/>
      <c r="E583" s="42"/>
    </row>
    <row r="584" ht="15.75" customHeight="1">
      <c r="D584" s="42"/>
      <c r="E584" s="42"/>
    </row>
    <row r="585" ht="15.75" customHeight="1">
      <c r="D585" s="42"/>
      <c r="E585" s="42"/>
    </row>
    <row r="586" ht="15.75" customHeight="1">
      <c r="D586" s="42"/>
      <c r="E586" s="42"/>
    </row>
    <row r="587" ht="15.75" customHeight="1">
      <c r="D587" s="42"/>
      <c r="E587" s="42"/>
    </row>
    <row r="588" ht="15.75" customHeight="1">
      <c r="D588" s="42"/>
      <c r="E588" s="42"/>
    </row>
    <row r="589" ht="15.75" customHeight="1">
      <c r="D589" s="42"/>
      <c r="E589" s="42"/>
    </row>
    <row r="590" ht="15.75" customHeight="1">
      <c r="D590" s="42"/>
      <c r="E590" s="42"/>
    </row>
    <row r="591" ht="15.75" customHeight="1">
      <c r="D591" s="42"/>
      <c r="E591" s="42"/>
    </row>
    <row r="592" ht="15.75" customHeight="1">
      <c r="D592" s="42"/>
      <c r="E592" s="42"/>
    </row>
    <row r="593" ht="15.75" customHeight="1">
      <c r="D593" s="42"/>
      <c r="E593" s="42"/>
    </row>
    <row r="594" ht="15.75" customHeight="1">
      <c r="D594" s="42"/>
      <c r="E594" s="42"/>
    </row>
    <row r="595" ht="15.75" customHeight="1">
      <c r="D595" s="42"/>
      <c r="E595" s="42"/>
    </row>
    <row r="596" ht="15.75" customHeight="1">
      <c r="D596" s="42"/>
      <c r="E596" s="42"/>
    </row>
    <row r="597" ht="15.75" customHeight="1">
      <c r="D597" s="42"/>
      <c r="E597" s="42"/>
    </row>
    <row r="598" ht="15.75" customHeight="1">
      <c r="D598" s="42"/>
      <c r="E598" s="42"/>
    </row>
    <row r="599" ht="15.75" customHeight="1">
      <c r="D599" s="42"/>
      <c r="E599" s="42"/>
    </row>
    <row r="600" ht="15.75" customHeight="1">
      <c r="D600" s="42"/>
      <c r="E600" s="42"/>
    </row>
    <row r="601" ht="15.75" customHeight="1">
      <c r="D601" s="42"/>
      <c r="E601" s="42"/>
    </row>
    <row r="602" ht="15.75" customHeight="1">
      <c r="D602" s="42"/>
      <c r="E602" s="42"/>
    </row>
    <row r="603" ht="15.75" customHeight="1">
      <c r="D603" s="42"/>
      <c r="E603" s="42"/>
    </row>
    <row r="604" ht="15.75" customHeight="1">
      <c r="D604" s="42"/>
      <c r="E604" s="42"/>
    </row>
    <row r="605" ht="15.75" customHeight="1">
      <c r="D605" s="42"/>
      <c r="E605" s="42"/>
    </row>
    <row r="606" ht="15.75" customHeight="1">
      <c r="D606" s="42"/>
      <c r="E606" s="42"/>
    </row>
    <row r="607" ht="15.75" customHeight="1">
      <c r="D607" s="42"/>
      <c r="E607" s="42"/>
    </row>
    <row r="608" ht="15.75" customHeight="1">
      <c r="D608" s="42"/>
      <c r="E608" s="42"/>
    </row>
    <row r="609" ht="15.75" customHeight="1">
      <c r="D609" s="42"/>
      <c r="E609" s="42"/>
    </row>
    <row r="610" ht="15.75" customHeight="1">
      <c r="D610" s="42"/>
      <c r="E610" s="42"/>
    </row>
    <row r="611" ht="15.75" customHeight="1">
      <c r="D611" s="42"/>
      <c r="E611" s="42"/>
    </row>
    <row r="612" ht="15.75" customHeight="1">
      <c r="D612" s="42"/>
      <c r="E612" s="42"/>
    </row>
    <row r="613" ht="15.75" customHeight="1">
      <c r="D613" s="42"/>
      <c r="E613" s="42"/>
    </row>
    <row r="614" ht="15.75" customHeight="1">
      <c r="D614" s="42"/>
      <c r="E614" s="42"/>
    </row>
    <row r="615" ht="15.75" customHeight="1">
      <c r="D615" s="42"/>
      <c r="E615" s="42"/>
    </row>
    <row r="616" ht="15.75" customHeight="1">
      <c r="D616" s="42"/>
      <c r="E616" s="42"/>
    </row>
    <row r="617" ht="15.75" customHeight="1">
      <c r="D617" s="42"/>
      <c r="E617" s="42"/>
    </row>
    <row r="618" ht="15.75" customHeight="1">
      <c r="D618" s="42"/>
      <c r="E618" s="42"/>
    </row>
    <row r="619" ht="15.75" customHeight="1">
      <c r="D619" s="42"/>
      <c r="E619" s="42"/>
    </row>
    <row r="620" ht="15.75" customHeight="1">
      <c r="D620" s="42"/>
      <c r="E620" s="42"/>
    </row>
    <row r="621" ht="15.75" customHeight="1">
      <c r="D621" s="42"/>
      <c r="E621" s="42"/>
    </row>
    <row r="622" ht="15.75" customHeight="1">
      <c r="D622" s="42"/>
      <c r="E622" s="42"/>
    </row>
    <row r="623" ht="15.75" customHeight="1">
      <c r="D623" s="42"/>
      <c r="E623" s="42"/>
    </row>
    <row r="624" ht="15.75" customHeight="1">
      <c r="D624" s="42"/>
      <c r="E624" s="42"/>
    </row>
    <row r="625" ht="15.75" customHeight="1">
      <c r="D625" s="42"/>
      <c r="E625" s="42"/>
    </row>
    <row r="626" ht="15.75" customHeight="1">
      <c r="D626" s="42"/>
      <c r="E626" s="42"/>
    </row>
    <row r="627" ht="15.75" customHeight="1">
      <c r="D627" s="42"/>
      <c r="E627" s="42"/>
    </row>
    <row r="628" ht="15.75" customHeight="1">
      <c r="D628" s="42"/>
      <c r="E628" s="42"/>
    </row>
    <row r="629" ht="15.75" customHeight="1">
      <c r="D629" s="42"/>
      <c r="E629" s="42"/>
    </row>
    <row r="630" ht="15.75" customHeight="1">
      <c r="D630" s="42"/>
      <c r="E630" s="42"/>
    </row>
    <row r="631" ht="15.75" customHeight="1">
      <c r="D631" s="42"/>
      <c r="E631" s="42"/>
    </row>
    <row r="632" ht="15.75" customHeight="1">
      <c r="D632" s="42"/>
      <c r="E632" s="42"/>
    </row>
    <row r="633" ht="15.75" customHeight="1">
      <c r="D633" s="42"/>
      <c r="E633" s="42"/>
    </row>
    <row r="634" ht="15.75" customHeight="1">
      <c r="D634" s="42"/>
      <c r="E634" s="42"/>
    </row>
    <row r="635" ht="15.75" customHeight="1">
      <c r="D635" s="42"/>
      <c r="E635" s="42"/>
    </row>
    <row r="636" ht="15.75" customHeight="1">
      <c r="D636" s="42"/>
      <c r="E636" s="42"/>
    </row>
    <row r="637" ht="15.75" customHeight="1">
      <c r="D637" s="42"/>
      <c r="E637" s="42"/>
    </row>
    <row r="638" ht="15.75" customHeight="1">
      <c r="D638" s="42"/>
      <c r="E638" s="42"/>
    </row>
    <row r="639" ht="15.75" customHeight="1">
      <c r="D639" s="42"/>
      <c r="E639" s="42"/>
    </row>
    <row r="640" ht="15.75" customHeight="1">
      <c r="D640" s="42"/>
      <c r="E640" s="42"/>
    </row>
    <row r="641" ht="15.75" customHeight="1">
      <c r="D641" s="42"/>
      <c r="E641" s="42"/>
    </row>
    <row r="642" ht="15.75" customHeight="1">
      <c r="D642" s="42"/>
      <c r="E642" s="42"/>
    </row>
    <row r="643" ht="15.75" customHeight="1">
      <c r="D643" s="42"/>
      <c r="E643" s="42"/>
    </row>
    <row r="644" ht="15.75" customHeight="1">
      <c r="D644" s="42"/>
      <c r="E644" s="42"/>
    </row>
    <row r="645" ht="15.75" customHeight="1">
      <c r="D645" s="42"/>
      <c r="E645" s="42"/>
    </row>
    <row r="646" ht="15.75" customHeight="1">
      <c r="D646" s="42"/>
      <c r="E646" s="42"/>
    </row>
    <row r="647" ht="15.75" customHeight="1">
      <c r="D647" s="42"/>
      <c r="E647" s="42"/>
    </row>
    <row r="648" ht="15.75" customHeight="1">
      <c r="D648" s="42"/>
      <c r="E648" s="42"/>
    </row>
    <row r="649" ht="15.75" customHeight="1">
      <c r="D649" s="42"/>
      <c r="E649" s="42"/>
    </row>
    <row r="650" ht="15.75" customHeight="1">
      <c r="D650" s="42"/>
      <c r="E650" s="42"/>
    </row>
    <row r="651" ht="15.75" customHeight="1">
      <c r="D651" s="42"/>
      <c r="E651" s="42"/>
    </row>
    <row r="652" ht="15.75" customHeight="1">
      <c r="D652" s="42"/>
      <c r="E652" s="42"/>
    </row>
    <row r="653" ht="15.75" customHeight="1">
      <c r="D653" s="42"/>
      <c r="E653" s="42"/>
    </row>
    <row r="654" ht="15.75" customHeight="1">
      <c r="D654" s="42"/>
      <c r="E654" s="42"/>
    </row>
    <row r="655" ht="15.75" customHeight="1">
      <c r="D655" s="42"/>
      <c r="E655" s="42"/>
    </row>
    <row r="656" ht="15.75" customHeight="1">
      <c r="D656" s="42"/>
      <c r="E656" s="42"/>
    </row>
    <row r="657" ht="15.75" customHeight="1">
      <c r="D657" s="42"/>
      <c r="E657" s="42"/>
    </row>
    <row r="658" ht="15.75" customHeight="1">
      <c r="D658" s="42"/>
      <c r="E658" s="42"/>
    </row>
    <row r="659" ht="15.75" customHeight="1">
      <c r="D659" s="42"/>
      <c r="E659" s="42"/>
    </row>
    <row r="660" ht="15.75" customHeight="1">
      <c r="D660" s="42"/>
      <c r="E660" s="42"/>
    </row>
    <row r="661" ht="15.75" customHeight="1">
      <c r="D661" s="42"/>
      <c r="E661" s="42"/>
    </row>
    <row r="662" ht="15.75" customHeight="1">
      <c r="D662" s="42"/>
      <c r="E662" s="42"/>
    </row>
    <row r="663" ht="15.75" customHeight="1">
      <c r="D663" s="42"/>
      <c r="E663" s="42"/>
    </row>
    <row r="664" ht="15.75" customHeight="1">
      <c r="D664" s="42"/>
      <c r="E664" s="42"/>
    </row>
    <row r="665" ht="15.75" customHeight="1">
      <c r="D665" s="42"/>
      <c r="E665" s="42"/>
    </row>
    <row r="666" ht="15.75" customHeight="1">
      <c r="D666" s="42"/>
      <c r="E666" s="42"/>
    </row>
    <row r="667" ht="15.75" customHeight="1">
      <c r="D667" s="42"/>
      <c r="E667" s="42"/>
    </row>
    <row r="668" ht="15.75" customHeight="1">
      <c r="D668" s="42"/>
      <c r="E668" s="42"/>
    </row>
    <row r="669" ht="15.75" customHeight="1">
      <c r="D669" s="42"/>
      <c r="E669" s="42"/>
    </row>
    <row r="670" ht="15.75" customHeight="1">
      <c r="D670" s="42"/>
      <c r="E670" s="42"/>
    </row>
    <row r="671" ht="15.75" customHeight="1">
      <c r="D671" s="42"/>
      <c r="E671" s="42"/>
    </row>
    <row r="672" ht="15.75" customHeight="1">
      <c r="D672" s="42"/>
      <c r="E672" s="42"/>
    </row>
    <row r="673" ht="15.75" customHeight="1">
      <c r="D673" s="42"/>
      <c r="E673" s="42"/>
    </row>
    <row r="674" ht="15.75" customHeight="1">
      <c r="D674" s="42"/>
      <c r="E674" s="42"/>
    </row>
    <row r="675" ht="15.75" customHeight="1">
      <c r="D675" s="42"/>
      <c r="E675" s="42"/>
    </row>
    <row r="676" ht="15.75" customHeight="1">
      <c r="D676" s="42"/>
      <c r="E676" s="42"/>
    </row>
    <row r="677" ht="15.75" customHeight="1">
      <c r="D677" s="42"/>
      <c r="E677" s="42"/>
    </row>
    <row r="678" ht="15.75" customHeight="1">
      <c r="D678" s="42"/>
      <c r="E678" s="42"/>
    </row>
    <row r="679" ht="15.75" customHeight="1">
      <c r="D679" s="42"/>
      <c r="E679" s="42"/>
    </row>
    <row r="680" ht="15.75" customHeight="1">
      <c r="D680" s="42"/>
      <c r="E680" s="42"/>
    </row>
    <row r="681" ht="15.75" customHeight="1">
      <c r="D681" s="42"/>
      <c r="E681" s="42"/>
    </row>
    <row r="682" ht="15.75" customHeight="1">
      <c r="D682" s="42"/>
      <c r="E682" s="42"/>
    </row>
    <row r="683" ht="15.75" customHeight="1">
      <c r="D683" s="42"/>
      <c r="E683" s="42"/>
    </row>
    <row r="684" ht="15.75" customHeight="1">
      <c r="D684" s="42"/>
      <c r="E684" s="42"/>
    </row>
    <row r="685" ht="15.75" customHeight="1">
      <c r="D685" s="42"/>
      <c r="E685" s="42"/>
    </row>
    <row r="686" ht="15.75" customHeight="1">
      <c r="D686" s="42"/>
      <c r="E686" s="42"/>
    </row>
    <row r="687" ht="15.75" customHeight="1">
      <c r="D687" s="42"/>
      <c r="E687" s="42"/>
    </row>
    <row r="688" ht="15.75" customHeight="1">
      <c r="D688" s="42"/>
      <c r="E688" s="42"/>
    </row>
    <row r="689" ht="15.75" customHeight="1">
      <c r="D689" s="42"/>
      <c r="E689" s="42"/>
    </row>
    <row r="690" ht="15.75" customHeight="1">
      <c r="D690" s="42"/>
      <c r="E690" s="42"/>
    </row>
    <row r="691" ht="15.75" customHeight="1">
      <c r="D691" s="42"/>
      <c r="E691" s="42"/>
    </row>
    <row r="692" ht="15.75" customHeight="1">
      <c r="D692" s="42"/>
      <c r="E692" s="42"/>
    </row>
    <row r="693" ht="15.75" customHeight="1">
      <c r="D693" s="42"/>
      <c r="E693" s="42"/>
    </row>
    <row r="694" ht="15.75" customHeight="1">
      <c r="D694" s="42"/>
      <c r="E694" s="42"/>
    </row>
    <row r="695" ht="15.75" customHeight="1">
      <c r="D695" s="42"/>
      <c r="E695" s="42"/>
    </row>
    <row r="696" ht="15.75" customHeight="1">
      <c r="D696" s="42"/>
      <c r="E696" s="42"/>
    </row>
    <row r="697" ht="15.75" customHeight="1">
      <c r="D697" s="42"/>
      <c r="E697" s="42"/>
    </row>
    <row r="698" ht="15.75" customHeight="1">
      <c r="D698" s="42"/>
      <c r="E698" s="42"/>
    </row>
    <row r="699" ht="15.75" customHeight="1">
      <c r="D699" s="42"/>
      <c r="E699" s="42"/>
    </row>
    <row r="700" ht="15.75" customHeight="1">
      <c r="D700" s="42"/>
      <c r="E700" s="42"/>
    </row>
    <row r="701" ht="15.75" customHeight="1">
      <c r="D701" s="42"/>
      <c r="E701" s="42"/>
    </row>
    <row r="702" ht="15.75" customHeight="1">
      <c r="D702" s="42"/>
      <c r="E702" s="42"/>
    </row>
    <row r="703" ht="15.75" customHeight="1">
      <c r="D703" s="42"/>
      <c r="E703" s="42"/>
    </row>
    <row r="704" ht="15.75" customHeight="1">
      <c r="D704" s="42"/>
      <c r="E704" s="42"/>
    </row>
    <row r="705" ht="15.75" customHeight="1">
      <c r="D705" s="42"/>
      <c r="E705" s="42"/>
    </row>
    <row r="706" ht="15.75" customHeight="1">
      <c r="D706" s="42"/>
      <c r="E706" s="42"/>
    </row>
    <row r="707" ht="15.75" customHeight="1">
      <c r="D707" s="42"/>
      <c r="E707" s="42"/>
    </row>
    <row r="708" ht="15.75" customHeight="1">
      <c r="D708" s="42"/>
      <c r="E708" s="42"/>
    </row>
    <row r="709" ht="15.75" customHeight="1">
      <c r="D709" s="42"/>
      <c r="E709" s="42"/>
    </row>
    <row r="710" ht="15.75" customHeight="1">
      <c r="D710" s="42"/>
      <c r="E710" s="42"/>
    </row>
    <row r="711" ht="15.75" customHeight="1">
      <c r="D711" s="42"/>
      <c r="E711" s="42"/>
    </row>
    <row r="712" ht="15.75" customHeight="1">
      <c r="D712" s="42"/>
      <c r="E712" s="42"/>
    </row>
    <row r="713" ht="15.75" customHeight="1">
      <c r="D713" s="42"/>
      <c r="E713" s="42"/>
    </row>
    <row r="714" ht="15.75" customHeight="1">
      <c r="D714" s="42"/>
      <c r="E714" s="42"/>
    </row>
    <row r="715" ht="15.75" customHeight="1">
      <c r="D715" s="42"/>
      <c r="E715" s="42"/>
    </row>
    <row r="716" ht="15.75" customHeight="1">
      <c r="D716" s="42"/>
      <c r="E716" s="42"/>
    </row>
    <row r="717" ht="15.75" customHeight="1">
      <c r="D717" s="42"/>
      <c r="E717" s="42"/>
    </row>
    <row r="718" ht="15.75" customHeight="1">
      <c r="D718" s="42"/>
      <c r="E718" s="42"/>
    </row>
    <row r="719" ht="15.75" customHeight="1">
      <c r="D719" s="42"/>
      <c r="E719" s="42"/>
    </row>
    <row r="720" ht="15.75" customHeight="1">
      <c r="D720" s="42"/>
      <c r="E720" s="42"/>
    </row>
    <row r="721" ht="15.75" customHeight="1">
      <c r="D721" s="42"/>
      <c r="E721" s="42"/>
    </row>
    <row r="722" ht="15.75" customHeight="1">
      <c r="D722" s="42"/>
      <c r="E722" s="42"/>
    </row>
    <row r="723" ht="15.75" customHeight="1">
      <c r="D723" s="42"/>
      <c r="E723" s="42"/>
    </row>
    <row r="724" ht="15.75" customHeight="1">
      <c r="D724" s="42"/>
      <c r="E724" s="42"/>
    </row>
    <row r="725" ht="15.75" customHeight="1">
      <c r="D725" s="42"/>
      <c r="E725" s="42"/>
    </row>
    <row r="726" ht="15.75" customHeight="1">
      <c r="D726" s="42"/>
      <c r="E726" s="42"/>
    </row>
    <row r="727" ht="15.75" customHeight="1">
      <c r="D727" s="42"/>
      <c r="E727" s="42"/>
    </row>
    <row r="728" ht="15.75" customHeight="1">
      <c r="D728" s="42"/>
      <c r="E728" s="42"/>
    </row>
    <row r="729" ht="15.75" customHeight="1">
      <c r="D729" s="42"/>
      <c r="E729" s="42"/>
    </row>
    <row r="730" ht="15.75" customHeight="1">
      <c r="D730" s="42"/>
      <c r="E730" s="42"/>
    </row>
    <row r="731" ht="15.75" customHeight="1">
      <c r="D731" s="42"/>
      <c r="E731" s="42"/>
    </row>
    <row r="732" ht="15.75" customHeight="1">
      <c r="D732" s="42"/>
      <c r="E732" s="42"/>
    </row>
    <row r="733" ht="15.75" customHeight="1">
      <c r="D733" s="42"/>
      <c r="E733" s="42"/>
    </row>
    <row r="734" ht="15.75" customHeight="1">
      <c r="D734" s="42"/>
      <c r="E734" s="42"/>
    </row>
    <row r="735" ht="15.75" customHeight="1">
      <c r="D735" s="42"/>
      <c r="E735" s="42"/>
    </row>
    <row r="736" ht="15.75" customHeight="1">
      <c r="D736" s="42"/>
      <c r="E736" s="42"/>
    </row>
    <row r="737" ht="15.75" customHeight="1">
      <c r="D737" s="42"/>
      <c r="E737" s="42"/>
    </row>
    <row r="738" ht="15.75" customHeight="1">
      <c r="D738" s="42"/>
      <c r="E738" s="42"/>
    </row>
    <row r="739" ht="15.75" customHeight="1">
      <c r="D739" s="42"/>
      <c r="E739" s="42"/>
    </row>
    <row r="740" ht="15.75" customHeight="1">
      <c r="D740" s="42"/>
      <c r="E740" s="42"/>
    </row>
    <row r="741" ht="15.75" customHeight="1">
      <c r="D741" s="42"/>
      <c r="E741" s="42"/>
    </row>
    <row r="742" ht="15.75" customHeight="1">
      <c r="D742" s="42"/>
      <c r="E742" s="42"/>
    </row>
    <row r="743" ht="15.75" customHeight="1">
      <c r="D743" s="42"/>
      <c r="E743" s="42"/>
    </row>
    <row r="744" ht="15.75" customHeight="1">
      <c r="D744" s="42"/>
      <c r="E744" s="42"/>
    </row>
    <row r="745" ht="15.75" customHeight="1">
      <c r="D745" s="42"/>
      <c r="E745" s="42"/>
    </row>
    <row r="746" ht="15.75" customHeight="1">
      <c r="D746" s="42"/>
      <c r="E746" s="42"/>
    </row>
    <row r="747" ht="15.75" customHeight="1">
      <c r="D747" s="42"/>
      <c r="E747" s="42"/>
    </row>
    <row r="748" ht="15.75" customHeight="1">
      <c r="D748" s="42"/>
      <c r="E748" s="42"/>
    </row>
    <row r="749" ht="15.75" customHeight="1">
      <c r="D749" s="42"/>
      <c r="E749" s="42"/>
    </row>
    <row r="750" ht="15.75" customHeight="1">
      <c r="D750" s="42"/>
      <c r="E750" s="42"/>
    </row>
    <row r="751" ht="15.75" customHeight="1">
      <c r="D751" s="42"/>
      <c r="E751" s="42"/>
    </row>
    <row r="752" ht="15.75" customHeight="1">
      <c r="D752" s="42"/>
      <c r="E752" s="42"/>
    </row>
    <row r="753" ht="15.75" customHeight="1">
      <c r="D753" s="42"/>
      <c r="E753" s="42"/>
    </row>
    <row r="754" ht="15.75" customHeight="1">
      <c r="D754" s="42"/>
      <c r="E754" s="42"/>
    </row>
    <row r="755" ht="15.75" customHeight="1">
      <c r="D755" s="42"/>
      <c r="E755" s="42"/>
    </row>
    <row r="756" ht="15.75" customHeight="1">
      <c r="D756" s="42"/>
      <c r="E756" s="42"/>
    </row>
    <row r="757" ht="15.75" customHeight="1">
      <c r="D757" s="42"/>
      <c r="E757" s="42"/>
    </row>
    <row r="758" ht="15.75" customHeight="1">
      <c r="D758" s="42"/>
      <c r="E758" s="42"/>
    </row>
    <row r="759" ht="15.75" customHeight="1">
      <c r="D759" s="42"/>
      <c r="E759" s="42"/>
    </row>
    <row r="760" ht="15.75" customHeight="1">
      <c r="D760" s="42"/>
      <c r="E760" s="42"/>
    </row>
    <row r="761" ht="15.75" customHeight="1">
      <c r="D761" s="42"/>
      <c r="E761" s="42"/>
    </row>
    <row r="762" ht="15.75" customHeight="1">
      <c r="D762" s="42"/>
      <c r="E762" s="42"/>
    </row>
    <row r="763" ht="15.75" customHeight="1">
      <c r="D763" s="42"/>
      <c r="E763" s="42"/>
    </row>
    <row r="764" ht="15.75" customHeight="1">
      <c r="D764" s="42"/>
      <c r="E764" s="42"/>
    </row>
    <row r="765" ht="15.75" customHeight="1">
      <c r="D765" s="42"/>
      <c r="E765" s="42"/>
    </row>
    <row r="766" ht="15.75" customHeight="1">
      <c r="D766" s="42"/>
      <c r="E766" s="42"/>
    </row>
    <row r="767" ht="15.75" customHeight="1">
      <c r="D767" s="42"/>
      <c r="E767" s="42"/>
    </row>
    <row r="768" ht="15.75" customHeight="1">
      <c r="D768" s="42"/>
      <c r="E768" s="42"/>
    </row>
    <row r="769" ht="15.75" customHeight="1">
      <c r="D769" s="42"/>
      <c r="E769" s="42"/>
    </row>
    <row r="770" ht="15.75" customHeight="1">
      <c r="D770" s="42"/>
      <c r="E770" s="42"/>
    </row>
    <row r="771" ht="15.75" customHeight="1">
      <c r="D771" s="42"/>
      <c r="E771" s="42"/>
    </row>
    <row r="772" ht="15.75" customHeight="1">
      <c r="D772" s="42"/>
      <c r="E772" s="42"/>
    </row>
    <row r="773" ht="15.75" customHeight="1">
      <c r="D773" s="42"/>
      <c r="E773" s="42"/>
    </row>
    <row r="774" ht="15.75" customHeight="1">
      <c r="D774" s="42"/>
      <c r="E774" s="42"/>
    </row>
    <row r="775" ht="15.75" customHeight="1">
      <c r="D775" s="42"/>
      <c r="E775" s="42"/>
    </row>
    <row r="776" ht="15.75" customHeight="1">
      <c r="D776" s="42"/>
      <c r="E776" s="42"/>
    </row>
    <row r="777" ht="15.75" customHeight="1">
      <c r="D777" s="42"/>
      <c r="E777" s="42"/>
    </row>
    <row r="778" ht="15.75" customHeight="1">
      <c r="D778" s="42"/>
      <c r="E778" s="42"/>
    </row>
    <row r="779" ht="15.75" customHeight="1">
      <c r="D779" s="42"/>
      <c r="E779" s="42"/>
    </row>
    <row r="780" ht="15.75" customHeight="1">
      <c r="D780" s="42"/>
      <c r="E780" s="42"/>
    </row>
    <row r="781" ht="15.75" customHeight="1">
      <c r="D781" s="42"/>
      <c r="E781" s="42"/>
    </row>
    <row r="782" ht="15.75" customHeight="1">
      <c r="D782" s="42"/>
      <c r="E782" s="42"/>
    </row>
    <row r="783" ht="15.75" customHeight="1">
      <c r="D783" s="42"/>
      <c r="E783" s="42"/>
    </row>
    <row r="784" ht="15.75" customHeight="1">
      <c r="D784" s="42"/>
      <c r="E784" s="42"/>
    </row>
    <row r="785" ht="15.75" customHeight="1">
      <c r="D785" s="42"/>
      <c r="E785" s="42"/>
    </row>
    <row r="786" ht="15.75" customHeight="1">
      <c r="D786" s="42"/>
      <c r="E786" s="42"/>
    </row>
    <row r="787" ht="15.75" customHeight="1">
      <c r="D787" s="42"/>
      <c r="E787" s="42"/>
    </row>
    <row r="788" ht="15.75" customHeight="1">
      <c r="D788" s="42"/>
      <c r="E788" s="42"/>
    </row>
    <row r="789" ht="15.75" customHeight="1">
      <c r="D789" s="42"/>
      <c r="E789" s="42"/>
    </row>
    <row r="790" ht="15.75" customHeight="1">
      <c r="D790" s="42"/>
      <c r="E790" s="42"/>
    </row>
    <row r="791" ht="15.75" customHeight="1">
      <c r="D791" s="42"/>
      <c r="E791" s="42"/>
    </row>
    <row r="792" ht="15.75" customHeight="1">
      <c r="D792" s="42"/>
      <c r="E792" s="42"/>
    </row>
    <row r="793" ht="15.75" customHeight="1">
      <c r="D793" s="42"/>
      <c r="E793" s="42"/>
    </row>
    <row r="794" ht="15.75" customHeight="1">
      <c r="D794" s="42"/>
      <c r="E794" s="42"/>
    </row>
    <row r="795" ht="15.75" customHeight="1">
      <c r="D795" s="42"/>
      <c r="E795" s="42"/>
    </row>
    <row r="796" ht="15.75" customHeight="1">
      <c r="D796" s="42"/>
      <c r="E796" s="42"/>
    </row>
    <row r="797" ht="15.75" customHeight="1">
      <c r="D797" s="42"/>
      <c r="E797" s="42"/>
    </row>
    <row r="798" ht="15.75" customHeight="1">
      <c r="D798" s="42"/>
      <c r="E798" s="42"/>
    </row>
    <row r="799" ht="15.75" customHeight="1">
      <c r="D799" s="42"/>
      <c r="E799" s="42"/>
    </row>
    <row r="800" ht="15.75" customHeight="1">
      <c r="D800" s="42"/>
      <c r="E800" s="42"/>
    </row>
    <row r="801" ht="15.75" customHeight="1">
      <c r="D801" s="42"/>
      <c r="E801" s="42"/>
    </row>
    <row r="802" ht="15.75" customHeight="1">
      <c r="D802" s="42"/>
      <c r="E802" s="42"/>
    </row>
    <row r="803" ht="15.75" customHeight="1">
      <c r="D803" s="42"/>
      <c r="E803" s="42"/>
    </row>
    <row r="804" ht="15.75" customHeight="1">
      <c r="D804" s="42"/>
      <c r="E804" s="42"/>
    </row>
    <row r="805" ht="15.75" customHeight="1">
      <c r="D805" s="42"/>
      <c r="E805" s="42"/>
    </row>
    <row r="806" ht="15.75" customHeight="1">
      <c r="D806" s="42"/>
      <c r="E806" s="42"/>
    </row>
    <row r="807" ht="15.75" customHeight="1">
      <c r="D807" s="42"/>
      <c r="E807" s="42"/>
    </row>
    <row r="808" ht="15.75" customHeight="1">
      <c r="D808" s="42"/>
      <c r="E808" s="42"/>
    </row>
    <row r="809" ht="15.75" customHeight="1">
      <c r="D809" s="42"/>
      <c r="E809" s="42"/>
    </row>
    <row r="810" ht="15.75" customHeight="1">
      <c r="D810" s="42"/>
      <c r="E810" s="42"/>
    </row>
    <row r="811" ht="15.75" customHeight="1">
      <c r="D811" s="42"/>
      <c r="E811" s="42"/>
    </row>
    <row r="812" ht="15.75" customHeight="1">
      <c r="D812" s="42"/>
      <c r="E812" s="42"/>
    </row>
    <row r="813" ht="15.75" customHeight="1">
      <c r="D813" s="42"/>
      <c r="E813" s="42"/>
    </row>
    <row r="814" ht="15.75" customHeight="1">
      <c r="D814" s="42"/>
      <c r="E814" s="42"/>
    </row>
    <row r="815" ht="15.75" customHeight="1">
      <c r="D815" s="42"/>
      <c r="E815" s="42"/>
    </row>
    <row r="816" ht="15.75" customHeight="1">
      <c r="D816" s="42"/>
      <c r="E816" s="42"/>
    </row>
    <row r="817" ht="15.75" customHeight="1">
      <c r="D817" s="42"/>
      <c r="E817" s="42"/>
    </row>
    <row r="818" ht="15.75" customHeight="1">
      <c r="D818" s="42"/>
      <c r="E818" s="42"/>
    </row>
    <row r="819" ht="15.75" customHeight="1">
      <c r="D819" s="42"/>
      <c r="E819" s="42"/>
    </row>
    <row r="820" ht="15.75" customHeight="1">
      <c r="D820" s="42"/>
      <c r="E820" s="42"/>
    </row>
    <row r="821" ht="15.75" customHeight="1">
      <c r="D821" s="42"/>
      <c r="E821" s="42"/>
    </row>
    <row r="822" ht="15.75" customHeight="1">
      <c r="D822" s="42"/>
      <c r="E822" s="42"/>
    </row>
    <row r="823" ht="15.75" customHeight="1">
      <c r="D823" s="42"/>
      <c r="E823" s="42"/>
    </row>
    <row r="824" ht="15.75" customHeight="1">
      <c r="D824" s="42"/>
      <c r="E824" s="42"/>
    </row>
    <row r="825" ht="15.75" customHeight="1">
      <c r="D825" s="42"/>
      <c r="E825" s="42"/>
    </row>
    <row r="826" ht="15.75" customHeight="1">
      <c r="D826" s="42"/>
      <c r="E826" s="42"/>
    </row>
    <row r="827" ht="15.75" customHeight="1">
      <c r="D827" s="42"/>
      <c r="E827" s="42"/>
    </row>
    <row r="828" ht="15.75" customHeight="1">
      <c r="D828" s="42"/>
      <c r="E828" s="42"/>
    </row>
    <row r="829" ht="15.75" customHeight="1">
      <c r="D829" s="42"/>
      <c r="E829" s="42"/>
    </row>
    <row r="830" ht="15.75" customHeight="1">
      <c r="D830" s="42"/>
      <c r="E830" s="42"/>
    </row>
    <row r="831" ht="15.75" customHeight="1">
      <c r="D831" s="42"/>
      <c r="E831" s="42"/>
    </row>
    <row r="832" ht="15.75" customHeight="1">
      <c r="D832" s="42"/>
      <c r="E832" s="42"/>
    </row>
    <row r="833" ht="15.75" customHeight="1">
      <c r="D833" s="42"/>
      <c r="E833" s="42"/>
    </row>
    <row r="834" ht="15.75" customHeight="1">
      <c r="D834" s="42"/>
      <c r="E834" s="42"/>
    </row>
    <row r="835" ht="15.75" customHeight="1">
      <c r="D835" s="42"/>
      <c r="E835" s="42"/>
    </row>
    <row r="836" ht="15.75" customHeight="1">
      <c r="D836" s="42"/>
      <c r="E836" s="42"/>
    </row>
    <row r="837" ht="15.75" customHeight="1">
      <c r="D837" s="42"/>
      <c r="E837" s="42"/>
    </row>
    <row r="838" ht="15.75" customHeight="1">
      <c r="D838" s="42"/>
      <c r="E838" s="42"/>
    </row>
    <row r="839" ht="15.75" customHeight="1">
      <c r="D839" s="42"/>
      <c r="E839" s="42"/>
    </row>
    <row r="840" ht="15.75" customHeight="1">
      <c r="D840" s="42"/>
      <c r="E840" s="42"/>
    </row>
    <row r="841" ht="15.75" customHeight="1">
      <c r="D841" s="42"/>
      <c r="E841" s="42"/>
    </row>
    <row r="842" ht="15.75" customHeight="1">
      <c r="D842" s="42"/>
      <c r="E842" s="42"/>
    </row>
    <row r="843" ht="15.75" customHeight="1">
      <c r="D843" s="42"/>
      <c r="E843" s="42"/>
    </row>
    <row r="844" ht="15.75" customHeight="1">
      <c r="D844" s="42"/>
      <c r="E844" s="42"/>
    </row>
    <row r="845" ht="15.75" customHeight="1">
      <c r="D845" s="42"/>
      <c r="E845" s="42"/>
    </row>
    <row r="846" ht="15.75" customHeight="1">
      <c r="D846" s="42"/>
      <c r="E846" s="42"/>
    </row>
    <row r="847" ht="15.75" customHeight="1">
      <c r="D847" s="42"/>
      <c r="E847" s="42"/>
    </row>
    <row r="848" ht="15.75" customHeight="1">
      <c r="D848" s="42"/>
      <c r="E848" s="42"/>
    </row>
    <row r="849" ht="15.75" customHeight="1">
      <c r="D849" s="42"/>
      <c r="E849" s="42"/>
    </row>
    <row r="850" ht="15.75" customHeight="1">
      <c r="D850" s="42"/>
      <c r="E850" s="42"/>
    </row>
    <row r="851" ht="15.75" customHeight="1">
      <c r="D851" s="42"/>
      <c r="E851" s="42"/>
    </row>
    <row r="852" ht="15.75" customHeight="1">
      <c r="D852" s="42"/>
      <c r="E852" s="42"/>
    </row>
    <row r="853" ht="15.75" customHeight="1">
      <c r="D853" s="42"/>
      <c r="E853" s="42"/>
    </row>
    <row r="854" ht="15.75" customHeight="1">
      <c r="D854" s="42"/>
      <c r="E854" s="42"/>
    </row>
    <row r="855" ht="15.75" customHeight="1">
      <c r="D855" s="42"/>
      <c r="E855" s="42"/>
    </row>
    <row r="856" ht="15.75" customHeight="1">
      <c r="D856" s="42"/>
      <c r="E856" s="42"/>
    </row>
    <row r="857" ht="15.75" customHeight="1">
      <c r="D857" s="42"/>
      <c r="E857" s="42"/>
    </row>
    <row r="858" ht="15.75" customHeight="1">
      <c r="D858" s="42"/>
      <c r="E858" s="42"/>
    </row>
    <row r="859" ht="15.75" customHeight="1">
      <c r="D859" s="42"/>
      <c r="E859" s="42"/>
    </row>
    <row r="860" ht="15.75" customHeight="1">
      <c r="D860" s="42"/>
      <c r="E860" s="42"/>
    </row>
    <row r="861" ht="15.75" customHeight="1">
      <c r="D861" s="42"/>
      <c r="E861" s="42"/>
    </row>
    <row r="862" ht="15.75" customHeight="1">
      <c r="D862" s="42"/>
      <c r="E862" s="42"/>
    </row>
    <row r="863" ht="15.75" customHeight="1">
      <c r="D863" s="42"/>
      <c r="E863" s="42"/>
    </row>
    <row r="864" ht="15.75" customHeight="1">
      <c r="D864" s="42"/>
      <c r="E864" s="42"/>
    </row>
    <row r="865" ht="15.75" customHeight="1">
      <c r="D865" s="42"/>
      <c r="E865" s="42"/>
    </row>
    <row r="866" ht="15.75" customHeight="1">
      <c r="D866" s="42"/>
      <c r="E866" s="42"/>
    </row>
    <row r="867" ht="15.75" customHeight="1">
      <c r="D867" s="42"/>
      <c r="E867" s="42"/>
    </row>
    <row r="868" ht="15.75" customHeight="1">
      <c r="D868" s="42"/>
      <c r="E868" s="42"/>
    </row>
    <row r="869" ht="15.75" customHeight="1">
      <c r="D869" s="42"/>
      <c r="E869" s="42"/>
    </row>
    <row r="870" ht="15.75" customHeight="1">
      <c r="D870" s="42"/>
      <c r="E870" s="42"/>
    </row>
    <row r="871" ht="15.75" customHeight="1">
      <c r="D871" s="42"/>
      <c r="E871" s="42"/>
    </row>
    <row r="872" ht="15.75" customHeight="1">
      <c r="D872" s="42"/>
      <c r="E872" s="42"/>
    </row>
    <row r="873" ht="15.75" customHeight="1">
      <c r="D873" s="42"/>
      <c r="E873" s="42"/>
    </row>
    <row r="874" ht="15.75" customHeight="1">
      <c r="D874" s="42"/>
      <c r="E874" s="42"/>
    </row>
    <row r="875" ht="15.75" customHeight="1">
      <c r="D875" s="42"/>
      <c r="E875" s="42"/>
    </row>
    <row r="876" ht="15.75" customHeight="1">
      <c r="D876" s="42"/>
      <c r="E876" s="42"/>
    </row>
    <row r="877" ht="15.75" customHeight="1">
      <c r="D877" s="42"/>
      <c r="E877" s="42"/>
    </row>
    <row r="878" ht="15.75" customHeight="1">
      <c r="D878" s="42"/>
      <c r="E878" s="42"/>
    </row>
    <row r="879" ht="15.75" customHeight="1">
      <c r="D879" s="42"/>
      <c r="E879" s="42"/>
    </row>
    <row r="880" ht="15.75" customHeight="1">
      <c r="D880" s="42"/>
      <c r="E880" s="42"/>
    </row>
    <row r="881" ht="15.75" customHeight="1">
      <c r="D881" s="42"/>
      <c r="E881" s="42"/>
    </row>
    <row r="882" ht="15.75" customHeight="1">
      <c r="D882" s="42"/>
      <c r="E882" s="42"/>
    </row>
    <row r="883" ht="15.75" customHeight="1">
      <c r="D883" s="42"/>
      <c r="E883" s="42"/>
    </row>
    <row r="884" ht="15.75" customHeight="1">
      <c r="D884" s="42"/>
      <c r="E884" s="42"/>
    </row>
    <row r="885" ht="15.75" customHeight="1">
      <c r="D885" s="42"/>
      <c r="E885" s="42"/>
    </row>
    <row r="886" ht="15.75" customHeight="1">
      <c r="D886" s="42"/>
      <c r="E886" s="42"/>
    </row>
    <row r="887" ht="15.75" customHeight="1">
      <c r="D887" s="42"/>
      <c r="E887" s="42"/>
    </row>
    <row r="888" ht="15.75" customHeight="1">
      <c r="D888" s="42"/>
      <c r="E888" s="42"/>
    </row>
    <row r="889" ht="15.75" customHeight="1">
      <c r="D889" s="42"/>
      <c r="E889" s="42"/>
    </row>
    <row r="890" ht="15.75" customHeight="1">
      <c r="D890" s="42"/>
      <c r="E890" s="42"/>
    </row>
    <row r="891" ht="15.75" customHeight="1">
      <c r="D891" s="42"/>
      <c r="E891" s="42"/>
    </row>
    <row r="892" ht="15.75" customHeight="1">
      <c r="D892" s="42"/>
      <c r="E892" s="42"/>
    </row>
    <row r="893" ht="15.75" customHeight="1">
      <c r="D893" s="42"/>
      <c r="E893" s="42"/>
    </row>
    <row r="894" ht="15.75" customHeight="1">
      <c r="D894" s="42"/>
      <c r="E894" s="42"/>
    </row>
    <row r="895" ht="15.75" customHeight="1">
      <c r="D895" s="42"/>
      <c r="E895" s="42"/>
    </row>
    <row r="896" ht="15.75" customHeight="1">
      <c r="D896" s="42"/>
      <c r="E896" s="42"/>
    </row>
    <row r="897" ht="15.75" customHeight="1">
      <c r="D897" s="42"/>
      <c r="E897" s="42"/>
    </row>
    <row r="898" ht="15.75" customHeight="1">
      <c r="D898" s="42"/>
      <c r="E898" s="42"/>
    </row>
    <row r="899" ht="15.75" customHeight="1">
      <c r="D899" s="42"/>
      <c r="E899" s="42"/>
    </row>
    <row r="900" ht="15.75" customHeight="1">
      <c r="D900" s="42"/>
      <c r="E900" s="42"/>
    </row>
    <row r="901" ht="15.75" customHeight="1">
      <c r="D901" s="42"/>
      <c r="E901" s="42"/>
    </row>
    <row r="902" ht="15.75" customHeight="1">
      <c r="D902" s="42"/>
      <c r="E902" s="42"/>
    </row>
    <row r="903" ht="15.75" customHeight="1">
      <c r="D903" s="42"/>
      <c r="E903" s="42"/>
    </row>
    <row r="904" ht="15.75" customHeight="1">
      <c r="D904" s="42"/>
      <c r="E904" s="42"/>
    </row>
    <row r="905" ht="15.75" customHeight="1">
      <c r="D905" s="42"/>
      <c r="E905" s="42"/>
    </row>
    <row r="906" ht="15.75" customHeight="1">
      <c r="D906" s="42"/>
      <c r="E906" s="42"/>
    </row>
    <row r="907" ht="15.75" customHeight="1">
      <c r="D907" s="42"/>
      <c r="E907" s="42"/>
    </row>
    <row r="908" ht="15.75" customHeight="1">
      <c r="D908" s="42"/>
      <c r="E908" s="42"/>
    </row>
    <row r="909" ht="15.75" customHeight="1">
      <c r="D909" s="42"/>
      <c r="E909" s="42"/>
    </row>
    <row r="910" ht="15.75" customHeight="1">
      <c r="D910" s="42"/>
      <c r="E910" s="42"/>
    </row>
    <row r="911" ht="15.75" customHeight="1">
      <c r="D911" s="42"/>
      <c r="E911" s="42"/>
    </row>
    <row r="912" ht="15.75" customHeight="1">
      <c r="D912" s="42"/>
      <c r="E912" s="42"/>
    </row>
    <row r="913" ht="15.75" customHeight="1">
      <c r="D913" s="42"/>
      <c r="E913" s="42"/>
    </row>
    <row r="914" ht="15.75" customHeight="1">
      <c r="D914" s="42"/>
      <c r="E914" s="42"/>
    </row>
    <row r="915" ht="15.75" customHeight="1">
      <c r="D915" s="42"/>
      <c r="E915" s="42"/>
    </row>
    <row r="916" ht="15.75" customHeight="1">
      <c r="D916" s="42"/>
      <c r="E916" s="42"/>
    </row>
    <row r="917" ht="15.75" customHeight="1">
      <c r="D917" s="42"/>
      <c r="E917" s="42"/>
    </row>
    <row r="918" ht="15.75" customHeight="1">
      <c r="D918" s="42"/>
      <c r="E918" s="42"/>
    </row>
    <row r="919" ht="15.75" customHeight="1">
      <c r="D919" s="42"/>
      <c r="E919" s="42"/>
    </row>
    <row r="920" ht="15.75" customHeight="1">
      <c r="D920" s="42"/>
      <c r="E920" s="42"/>
    </row>
    <row r="921" ht="15.75" customHeight="1">
      <c r="D921" s="42"/>
      <c r="E921" s="42"/>
    </row>
    <row r="922" ht="15.75" customHeight="1">
      <c r="D922" s="42"/>
      <c r="E922" s="42"/>
    </row>
    <row r="923" ht="15.75" customHeight="1">
      <c r="D923" s="42"/>
      <c r="E923" s="42"/>
    </row>
    <row r="924" ht="15.75" customHeight="1">
      <c r="D924" s="42"/>
      <c r="E924" s="42"/>
    </row>
    <row r="925" ht="15.75" customHeight="1">
      <c r="D925" s="42"/>
      <c r="E925" s="42"/>
    </row>
    <row r="926" ht="15.75" customHeight="1">
      <c r="D926" s="42"/>
      <c r="E926" s="42"/>
    </row>
    <row r="927" ht="15.75" customHeight="1">
      <c r="D927" s="42"/>
      <c r="E927" s="42"/>
    </row>
    <row r="928" ht="15.75" customHeight="1">
      <c r="D928" s="42"/>
      <c r="E928" s="42"/>
    </row>
    <row r="929" ht="15.75" customHeight="1">
      <c r="D929" s="42"/>
      <c r="E929" s="42"/>
    </row>
    <row r="930" ht="15.75" customHeight="1">
      <c r="D930" s="42"/>
      <c r="E930" s="42"/>
    </row>
    <row r="931" ht="15.75" customHeight="1">
      <c r="D931" s="42"/>
      <c r="E931" s="42"/>
    </row>
    <row r="932" ht="15.75" customHeight="1">
      <c r="D932" s="42"/>
      <c r="E932" s="42"/>
    </row>
    <row r="933" ht="15.75" customHeight="1">
      <c r="D933" s="42"/>
      <c r="E933" s="42"/>
    </row>
    <row r="934" ht="15.75" customHeight="1">
      <c r="D934" s="42"/>
      <c r="E934" s="42"/>
    </row>
    <row r="935" ht="15.75" customHeight="1">
      <c r="D935" s="42"/>
      <c r="E935" s="42"/>
    </row>
    <row r="936" ht="15.75" customHeight="1">
      <c r="D936" s="42"/>
      <c r="E936" s="42"/>
    </row>
    <row r="937" ht="15.75" customHeight="1">
      <c r="D937" s="42"/>
      <c r="E937" s="42"/>
    </row>
    <row r="938" ht="15.75" customHeight="1">
      <c r="D938" s="42"/>
      <c r="E938" s="42"/>
    </row>
    <row r="939" ht="15.75" customHeight="1">
      <c r="D939" s="42"/>
      <c r="E939" s="42"/>
    </row>
    <row r="940" ht="15.75" customHeight="1">
      <c r="D940" s="42"/>
      <c r="E940" s="42"/>
    </row>
    <row r="941" ht="15.75" customHeight="1">
      <c r="D941" s="42"/>
      <c r="E941" s="42"/>
    </row>
    <row r="942" ht="15.75" customHeight="1">
      <c r="D942" s="42"/>
      <c r="E942" s="42"/>
    </row>
    <row r="943" ht="15.75" customHeight="1">
      <c r="D943" s="42"/>
      <c r="E943" s="42"/>
    </row>
    <row r="944" ht="15.75" customHeight="1">
      <c r="D944" s="42"/>
      <c r="E944" s="42"/>
    </row>
    <row r="945" ht="15.75" customHeight="1">
      <c r="D945" s="42"/>
      <c r="E945" s="42"/>
    </row>
    <row r="946" ht="15.75" customHeight="1">
      <c r="D946" s="42"/>
      <c r="E946" s="42"/>
    </row>
    <row r="947" ht="15.75" customHeight="1">
      <c r="D947" s="42"/>
      <c r="E947" s="42"/>
    </row>
    <row r="948" ht="15.75" customHeight="1">
      <c r="D948" s="42"/>
      <c r="E948" s="42"/>
    </row>
    <row r="949" ht="15.75" customHeight="1">
      <c r="D949" s="42"/>
      <c r="E949" s="42"/>
    </row>
    <row r="950" ht="15.75" customHeight="1">
      <c r="D950" s="42"/>
      <c r="E950" s="42"/>
    </row>
    <row r="951" ht="15.75" customHeight="1">
      <c r="D951" s="42"/>
      <c r="E951" s="42"/>
    </row>
    <row r="952" ht="15.75" customHeight="1">
      <c r="D952" s="42"/>
      <c r="E952" s="42"/>
    </row>
    <row r="953" ht="15.75" customHeight="1">
      <c r="D953" s="42"/>
      <c r="E953" s="42"/>
    </row>
    <row r="954" ht="15.75" customHeight="1">
      <c r="D954" s="42"/>
      <c r="E954" s="42"/>
    </row>
    <row r="955" ht="15.75" customHeight="1">
      <c r="D955" s="42"/>
      <c r="E955" s="42"/>
    </row>
    <row r="956" ht="15.75" customHeight="1">
      <c r="D956" s="42"/>
      <c r="E956" s="42"/>
    </row>
    <row r="957" ht="15.75" customHeight="1">
      <c r="D957" s="42"/>
      <c r="E957" s="42"/>
    </row>
    <row r="958" ht="15.75" customHeight="1">
      <c r="D958" s="42"/>
      <c r="E958" s="42"/>
    </row>
    <row r="959" ht="15.75" customHeight="1">
      <c r="D959" s="42"/>
      <c r="E959" s="42"/>
    </row>
    <row r="960" ht="15.75" customHeight="1">
      <c r="D960" s="42"/>
      <c r="E960" s="42"/>
    </row>
    <row r="961" ht="15.75" customHeight="1">
      <c r="D961" s="42"/>
      <c r="E961" s="42"/>
    </row>
    <row r="962" ht="15.75" customHeight="1">
      <c r="D962" s="42"/>
      <c r="E962" s="42"/>
    </row>
    <row r="963" ht="15.75" customHeight="1">
      <c r="D963" s="42"/>
      <c r="E963" s="42"/>
    </row>
    <row r="964" ht="15.75" customHeight="1">
      <c r="D964" s="42"/>
      <c r="E964" s="42"/>
    </row>
    <row r="965" ht="15.75" customHeight="1">
      <c r="D965" s="42"/>
      <c r="E965" s="42"/>
    </row>
    <row r="966" ht="15.75" customHeight="1">
      <c r="D966" s="42"/>
      <c r="E966" s="42"/>
    </row>
    <row r="967" ht="15.75" customHeight="1">
      <c r="D967" s="42"/>
      <c r="E967" s="42"/>
    </row>
    <row r="968" ht="15.75" customHeight="1">
      <c r="D968" s="42"/>
      <c r="E968" s="42"/>
    </row>
    <row r="969" ht="15.75" customHeight="1">
      <c r="D969" s="42"/>
      <c r="E969" s="42"/>
    </row>
    <row r="970" ht="15.75" customHeight="1">
      <c r="D970" s="42"/>
      <c r="E970" s="42"/>
    </row>
    <row r="971" ht="15.75" customHeight="1">
      <c r="D971" s="42"/>
      <c r="E971" s="42"/>
    </row>
    <row r="972" ht="15.75" customHeight="1">
      <c r="D972" s="42"/>
      <c r="E972" s="42"/>
    </row>
    <row r="973" ht="15.75" customHeight="1">
      <c r="D973" s="42"/>
      <c r="E973" s="42"/>
    </row>
    <row r="974" ht="15.75" customHeight="1">
      <c r="D974" s="42"/>
      <c r="E974" s="42"/>
    </row>
    <row r="975" ht="15.75" customHeight="1">
      <c r="D975" s="42"/>
      <c r="E975" s="42"/>
    </row>
    <row r="976" ht="15.75" customHeight="1">
      <c r="D976" s="42"/>
      <c r="E976" s="42"/>
    </row>
    <row r="977" ht="15.75" customHeight="1">
      <c r="D977" s="42"/>
      <c r="E977" s="42"/>
    </row>
    <row r="978" ht="15.75" customHeight="1">
      <c r="D978" s="42"/>
      <c r="E978" s="42"/>
    </row>
    <row r="979" ht="15.75" customHeight="1">
      <c r="D979" s="42"/>
      <c r="E979" s="42"/>
    </row>
    <row r="980" ht="15.75" customHeight="1">
      <c r="D980" s="42"/>
      <c r="E980" s="42"/>
    </row>
    <row r="981" ht="15.75" customHeight="1">
      <c r="D981" s="42"/>
      <c r="E981" s="42"/>
    </row>
    <row r="982" ht="15.75" customHeight="1">
      <c r="D982" s="42"/>
      <c r="E982" s="42"/>
    </row>
    <row r="983" ht="15.75" customHeight="1">
      <c r="D983" s="42"/>
      <c r="E983" s="42"/>
    </row>
    <row r="984" ht="15.75" customHeight="1">
      <c r="D984" s="42"/>
      <c r="E984" s="42"/>
    </row>
    <row r="985" ht="15.75" customHeight="1">
      <c r="D985" s="42"/>
      <c r="E985" s="42"/>
    </row>
    <row r="986" ht="15.75" customHeight="1">
      <c r="D986" s="42"/>
      <c r="E986" s="42"/>
    </row>
    <row r="987" ht="15.75" customHeight="1">
      <c r="D987" s="42"/>
      <c r="E987" s="42"/>
    </row>
    <row r="988" ht="15.75" customHeight="1">
      <c r="D988" s="42"/>
      <c r="E988" s="42"/>
    </row>
    <row r="989" ht="15.75" customHeight="1">
      <c r="D989" s="42"/>
      <c r="E989" s="42"/>
    </row>
    <row r="990" ht="15.75" customHeight="1">
      <c r="D990" s="42"/>
      <c r="E990" s="42"/>
    </row>
    <row r="991" ht="15.75" customHeight="1">
      <c r="D991" s="42"/>
      <c r="E991" s="42"/>
    </row>
    <row r="992" ht="15.75" customHeight="1">
      <c r="D992" s="42"/>
      <c r="E992" s="42"/>
    </row>
    <row r="993" ht="15.75" customHeight="1">
      <c r="D993" s="42"/>
      <c r="E993" s="42"/>
    </row>
    <row r="994" ht="15.75" customHeight="1">
      <c r="D994" s="42"/>
      <c r="E994" s="42"/>
    </row>
    <row r="995" ht="15.75" customHeight="1">
      <c r="D995" s="42"/>
      <c r="E995" s="42"/>
    </row>
    <row r="996" ht="15.75" customHeight="1">
      <c r="D996" s="42"/>
      <c r="E996" s="42"/>
    </row>
    <row r="997" ht="15.75" customHeight="1">
      <c r="D997" s="42"/>
      <c r="E997" s="42"/>
    </row>
    <row r="998" ht="15.75" customHeight="1">
      <c r="D998" s="42"/>
      <c r="E998" s="42"/>
    </row>
    <row r="999" ht="15.75" customHeight="1">
      <c r="D999" s="42"/>
      <c r="E999" s="42"/>
    </row>
    <row r="1000" ht="15.75" customHeight="1">
      <c r="D1000" s="42"/>
      <c r="E1000" s="42"/>
    </row>
  </sheetData>
  <mergeCells count="12">
    <mergeCell ref="O6:R6"/>
    <mergeCell ref="S6:V6"/>
    <mergeCell ref="A23:C23"/>
    <mergeCell ref="A24:C24"/>
    <mergeCell ref="A1:AA2"/>
    <mergeCell ref="A3:AA4"/>
    <mergeCell ref="A5:AA5"/>
    <mergeCell ref="A6:A7"/>
    <mergeCell ref="E6:E7"/>
    <mergeCell ref="F6:I6"/>
    <mergeCell ref="J6:N6"/>
    <mergeCell ref="W6:AA6"/>
  </mergeCells>
  <printOptions/>
  <pageMargins bottom="0.2" footer="0.0" header="0.0" left="0.2" right="0.2" top="0.2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2.57"/>
    <col customWidth="1" min="3" max="3" width="9.86"/>
    <col customWidth="1" min="4" max="4" width="11.43"/>
    <col customWidth="1" min="5" max="5" width="13.14"/>
    <col customWidth="1" min="6" max="6" width="11.29"/>
    <col customWidth="1" hidden="1" min="7" max="7" width="12.29"/>
    <col customWidth="1" min="8" max="8" width="9.86"/>
    <col customWidth="1" min="9" max="9" width="9.43"/>
    <col customWidth="1" min="10" max="10" width="13.14"/>
    <col customWidth="1" hidden="1" min="11" max="11" width="12.29"/>
    <col customWidth="1" min="12" max="12" width="11.86"/>
    <col customWidth="1" hidden="1" min="13" max="13" width="9.43"/>
    <col customWidth="1" min="14" max="14" width="8.14"/>
    <col customWidth="1" min="15" max="15" width="12.0"/>
    <col customWidth="1" hidden="1" min="16" max="16" width="14.29"/>
    <col customWidth="1" min="17" max="17" width="9.86"/>
    <col customWidth="1" min="18" max="18" width="9.43"/>
    <col customWidth="1" min="19" max="19" width="11.86"/>
    <col customWidth="1" hidden="1" min="20" max="20" width="13.43"/>
    <col customWidth="1" min="21" max="21" width="8.71"/>
    <col customWidth="1" min="22" max="22" width="7.86"/>
    <col customWidth="1" min="23" max="23" width="16.43"/>
    <col customWidth="1" hidden="1" min="24" max="24" width="2.29"/>
    <col customWidth="1" min="25" max="25" width="12.57"/>
    <col customWidth="1" min="26" max="26" width="8.14"/>
    <col customWidth="1" min="27" max="27" width="11.57"/>
  </cols>
  <sheetData>
    <row r="1">
      <c r="A1" s="1" t="s">
        <v>0</v>
      </c>
    </row>
    <row r="3">
      <c r="A3" s="2" t="s">
        <v>48</v>
      </c>
    </row>
    <row r="5">
      <c r="A5" s="3" t="s">
        <v>49</v>
      </c>
    </row>
    <row r="6">
      <c r="A6" s="4" t="s">
        <v>3</v>
      </c>
      <c r="B6" s="5" t="s">
        <v>4</v>
      </c>
      <c r="C6" s="5" t="s">
        <v>5</v>
      </c>
      <c r="D6" s="5" t="s">
        <v>6</v>
      </c>
      <c r="E6" s="4" t="s">
        <v>7</v>
      </c>
      <c r="F6" s="6" t="s">
        <v>8</v>
      </c>
      <c r="G6" s="7"/>
      <c r="H6" s="7"/>
      <c r="I6" s="8"/>
      <c r="J6" s="6" t="s">
        <v>9</v>
      </c>
      <c r="K6" s="7"/>
      <c r="L6" s="7"/>
      <c r="M6" s="7"/>
      <c r="N6" s="8"/>
      <c r="O6" s="6" t="s">
        <v>10</v>
      </c>
      <c r="P6" s="7"/>
      <c r="Q6" s="7"/>
      <c r="R6" s="8"/>
      <c r="S6" s="6" t="s">
        <v>11</v>
      </c>
      <c r="T6" s="7"/>
      <c r="U6" s="7"/>
      <c r="V6" s="8"/>
      <c r="W6" s="6" t="s">
        <v>12</v>
      </c>
      <c r="X6" s="7"/>
      <c r="Y6" s="7"/>
      <c r="Z6" s="8"/>
    </row>
    <row r="7">
      <c r="A7" s="9"/>
      <c r="B7" s="10"/>
      <c r="C7" s="10"/>
      <c r="D7" s="10"/>
      <c r="E7" s="11"/>
      <c r="F7" s="12" t="s">
        <v>13</v>
      </c>
      <c r="G7" s="12"/>
      <c r="H7" s="12" t="s">
        <v>14</v>
      </c>
      <c r="I7" s="12" t="s">
        <v>15</v>
      </c>
      <c r="J7" s="12" t="s">
        <v>13</v>
      </c>
      <c r="K7" s="12"/>
      <c r="L7" s="12" t="s">
        <v>14</v>
      </c>
      <c r="M7" s="12"/>
      <c r="N7" s="12" t="s">
        <v>15</v>
      </c>
      <c r="O7" s="12" t="s">
        <v>13</v>
      </c>
      <c r="P7" s="12"/>
      <c r="Q7" s="12" t="s">
        <v>14</v>
      </c>
      <c r="R7" s="12" t="s">
        <v>15</v>
      </c>
      <c r="S7" s="12" t="s">
        <v>13</v>
      </c>
      <c r="T7" s="12"/>
      <c r="U7" s="12" t="s">
        <v>14</v>
      </c>
      <c r="V7" s="12" t="s">
        <v>15</v>
      </c>
      <c r="W7" s="12" t="s">
        <v>13</v>
      </c>
      <c r="X7" s="12"/>
      <c r="Y7" s="12" t="s">
        <v>14</v>
      </c>
      <c r="Z7" s="12" t="s">
        <v>15</v>
      </c>
    </row>
    <row r="8">
      <c r="A8" s="13">
        <v>1.0</v>
      </c>
      <c r="B8" s="14" t="s">
        <v>16</v>
      </c>
      <c r="C8" s="13" t="s">
        <v>17</v>
      </c>
      <c r="D8" s="13">
        <v>70.79</v>
      </c>
      <c r="E8" s="15">
        <v>500.0</v>
      </c>
      <c r="F8" s="16">
        <f t="shared" ref="F8:F22" si="1">W8/26*7</f>
        <v>695.6923077</v>
      </c>
      <c r="G8" s="17">
        <f t="shared" ref="G8:G23" si="2">F8*D8</f>
        <v>49248.05846</v>
      </c>
      <c r="H8" s="18"/>
      <c r="I8" s="19"/>
      <c r="J8" s="19">
        <v>695.6923076923077</v>
      </c>
      <c r="K8" s="19">
        <f t="shared" ref="K8:K22" si="3">J8*D8</f>
        <v>49248.05846</v>
      </c>
      <c r="L8" s="19">
        <v>8.0</v>
      </c>
      <c r="M8" s="20">
        <f t="shared" ref="M8:M22" si="4">L8*D8</f>
        <v>566.32</v>
      </c>
      <c r="N8" s="21">
        <f t="shared" ref="N8:N24" si="5">L8/J8</f>
        <v>0.01149933658</v>
      </c>
      <c r="O8" s="19">
        <v>695.6923076923077</v>
      </c>
      <c r="P8" s="22">
        <f t="shared" ref="P8:P23" si="6">O8*D8</f>
        <v>49248.05846</v>
      </c>
      <c r="Q8" s="18"/>
      <c r="R8" s="18"/>
      <c r="S8" s="18">
        <v>695.6923076923077</v>
      </c>
      <c r="T8" s="18">
        <f t="shared" ref="T8:T22" si="7">S8*D8</f>
        <v>49248.05846</v>
      </c>
      <c r="U8" s="18"/>
      <c r="V8" s="66"/>
      <c r="W8" s="16">
        <f>ZEESHAN!W8+SAQIB!W8</f>
        <v>2584</v>
      </c>
      <c r="X8" s="23">
        <f t="shared" ref="X8:X23" si="8">W8*D8</f>
        <v>182921.36</v>
      </c>
      <c r="Y8" s="18">
        <f>SHAHEER!Y8+vacant!Y8</f>
        <v>24</v>
      </c>
      <c r="Z8" s="24">
        <f t="shared" ref="Z8:Z24" si="9">Y8/W8</f>
        <v>0.009287925697</v>
      </c>
      <c r="AA8" s="25"/>
    </row>
    <row r="9">
      <c r="A9" s="26">
        <v>2.0</v>
      </c>
      <c r="B9" s="27" t="s">
        <v>18</v>
      </c>
      <c r="C9" s="26" t="s">
        <v>17</v>
      </c>
      <c r="D9" s="26">
        <v>89.37</v>
      </c>
      <c r="E9" s="28">
        <v>500.0</v>
      </c>
      <c r="F9" s="29">
        <f t="shared" si="1"/>
        <v>695.6923077</v>
      </c>
      <c r="G9" s="23">
        <f t="shared" si="2"/>
        <v>62174.02154</v>
      </c>
      <c r="H9" s="30"/>
      <c r="I9" s="31"/>
      <c r="J9" s="31">
        <v>695.6923076923077</v>
      </c>
      <c r="K9" s="19">
        <f t="shared" si="3"/>
        <v>62174.02154</v>
      </c>
      <c r="L9" s="31">
        <v>10.0</v>
      </c>
      <c r="M9" s="20">
        <f t="shared" si="4"/>
        <v>893.7</v>
      </c>
      <c r="N9" s="32">
        <f t="shared" si="5"/>
        <v>0.01437417072</v>
      </c>
      <c r="O9" s="31">
        <v>695.6923076923077</v>
      </c>
      <c r="P9" s="22">
        <f t="shared" si="6"/>
        <v>62174.02154</v>
      </c>
      <c r="Q9" s="30"/>
      <c r="R9" s="30"/>
      <c r="S9" s="30">
        <v>695.6923076923077</v>
      </c>
      <c r="T9" s="18">
        <f t="shared" si="7"/>
        <v>62174.02154</v>
      </c>
      <c r="U9" s="30"/>
      <c r="V9" s="67"/>
      <c r="W9" s="29">
        <f>ZEESHAN!W9+SAQIB!W9</f>
        <v>2584</v>
      </c>
      <c r="X9" s="23">
        <f t="shared" si="8"/>
        <v>230932.08</v>
      </c>
      <c r="Y9" s="18">
        <f>SHAHEER!Y9+vacant!Y9</f>
        <v>25</v>
      </c>
      <c r="Z9" s="24">
        <f t="shared" si="9"/>
        <v>0.009674922601</v>
      </c>
      <c r="AA9" s="25"/>
    </row>
    <row r="10">
      <c r="A10" s="26">
        <v>3.0</v>
      </c>
      <c r="B10" s="27" t="s">
        <v>19</v>
      </c>
      <c r="C10" s="26" t="s">
        <v>17</v>
      </c>
      <c r="D10" s="26">
        <v>112.5</v>
      </c>
      <c r="E10" s="28">
        <v>800.0</v>
      </c>
      <c r="F10" s="29">
        <f t="shared" si="1"/>
        <v>1113</v>
      </c>
      <c r="G10" s="23">
        <f t="shared" si="2"/>
        <v>125212.5</v>
      </c>
      <c r="H10" s="30"/>
      <c r="I10" s="31"/>
      <c r="J10" s="31">
        <v>1113.0</v>
      </c>
      <c r="K10" s="19">
        <f t="shared" si="3"/>
        <v>125212.5</v>
      </c>
      <c r="L10" s="31">
        <v>2196.0</v>
      </c>
      <c r="M10" s="20">
        <f t="shared" si="4"/>
        <v>247050</v>
      </c>
      <c r="N10" s="32">
        <f t="shared" si="5"/>
        <v>1.973045822</v>
      </c>
      <c r="O10" s="31">
        <v>1113.0</v>
      </c>
      <c r="P10" s="22">
        <f t="shared" si="6"/>
        <v>125212.5</v>
      </c>
      <c r="Q10" s="30"/>
      <c r="R10" s="30"/>
      <c r="S10" s="30">
        <v>1113.0</v>
      </c>
      <c r="T10" s="18">
        <f t="shared" si="7"/>
        <v>125212.5</v>
      </c>
      <c r="U10" s="30"/>
      <c r="V10" s="67"/>
      <c r="W10" s="29">
        <f>ZEESHAN!W10+SAQIB!W10</f>
        <v>4134</v>
      </c>
      <c r="X10" s="23">
        <f t="shared" si="8"/>
        <v>465075</v>
      </c>
      <c r="Y10" s="18">
        <f>SHAHEER!Y10+vacant!Y10</f>
        <v>5251</v>
      </c>
      <c r="Z10" s="24">
        <f t="shared" si="9"/>
        <v>1.270198355</v>
      </c>
      <c r="AA10" s="25"/>
    </row>
    <row r="11">
      <c r="A11" s="26">
        <v>4.0</v>
      </c>
      <c r="B11" s="27" t="s">
        <v>20</v>
      </c>
      <c r="C11" s="26" t="s">
        <v>21</v>
      </c>
      <c r="D11" s="26">
        <v>55.23</v>
      </c>
      <c r="E11" s="28">
        <v>200.0</v>
      </c>
      <c r="F11" s="29">
        <f t="shared" si="1"/>
        <v>278.3846154</v>
      </c>
      <c r="G11" s="23">
        <f t="shared" si="2"/>
        <v>15375.18231</v>
      </c>
      <c r="H11" s="30"/>
      <c r="I11" s="31"/>
      <c r="J11" s="31">
        <v>278.38461538461536</v>
      </c>
      <c r="K11" s="19">
        <f t="shared" si="3"/>
        <v>15375.18231</v>
      </c>
      <c r="L11" s="31">
        <v>0.0</v>
      </c>
      <c r="M11" s="20">
        <f t="shared" si="4"/>
        <v>0</v>
      </c>
      <c r="N11" s="32">
        <f t="shared" si="5"/>
        <v>0</v>
      </c>
      <c r="O11" s="31">
        <v>278.38461538461536</v>
      </c>
      <c r="P11" s="22">
        <f t="shared" si="6"/>
        <v>15375.18231</v>
      </c>
      <c r="Q11" s="30"/>
      <c r="R11" s="30"/>
      <c r="S11" s="30">
        <v>278.38461538461536</v>
      </c>
      <c r="T11" s="18">
        <f t="shared" si="7"/>
        <v>15375.18231</v>
      </c>
      <c r="U11" s="30"/>
      <c r="V11" s="67"/>
      <c r="W11" s="29">
        <f>ZEESHAN!W11+SAQIB!W11</f>
        <v>1034</v>
      </c>
      <c r="X11" s="23">
        <f t="shared" si="8"/>
        <v>57107.82</v>
      </c>
      <c r="Y11" s="18">
        <f>SHAHEER!Y11+vacant!Y11</f>
        <v>0</v>
      </c>
      <c r="Z11" s="24">
        <f t="shared" si="9"/>
        <v>0</v>
      </c>
      <c r="AA11" s="25"/>
    </row>
    <row r="12">
      <c r="A12" s="26">
        <v>5.0</v>
      </c>
      <c r="B12" s="27" t="s">
        <v>22</v>
      </c>
      <c r="C12" s="26" t="s">
        <v>23</v>
      </c>
      <c r="D12" s="26">
        <v>192.63</v>
      </c>
      <c r="E12" s="28">
        <v>192.0</v>
      </c>
      <c r="F12" s="29">
        <f t="shared" si="1"/>
        <v>267.0769231</v>
      </c>
      <c r="G12" s="23">
        <f t="shared" si="2"/>
        <v>51447.02769</v>
      </c>
      <c r="H12" s="30"/>
      <c r="I12" s="31"/>
      <c r="J12" s="31">
        <v>267.0769230769231</v>
      </c>
      <c r="K12" s="19">
        <f t="shared" si="3"/>
        <v>51447.02769</v>
      </c>
      <c r="L12" s="31">
        <v>10.0</v>
      </c>
      <c r="M12" s="20">
        <f t="shared" si="4"/>
        <v>1926.3</v>
      </c>
      <c r="N12" s="32">
        <f t="shared" si="5"/>
        <v>0.03744239631</v>
      </c>
      <c r="O12" s="31">
        <v>267.0769230769231</v>
      </c>
      <c r="P12" s="22">
        <f t="shared" si="6"/>
        <v>51447.02769</v>
      </c>
      <c r="Q12" s="30"/>
      <c r="R12" s="30"/>
      <c r="S12" s="30">
        <v>267.0769230769231</v>
      </c>
      <c r="T12" s="18">
        <f t="shared" si="7"/>
        <v>51447.02769</v>
      </c>
      <c r="U12" s="30"/>
      <c r="V12" s="67"/>
      <c r="W12" s="29">
        <f>ZEESHAN!W12+SAQIB!W12</f>
        <v>992</v>
      </c>
      <c r="X12" s="23">
        <f t="shared" si="8"/>
        <v>191088.96</v>
      </c>
      <c r="Y12" s="18">
        <f>SHAHEER!Y12+vacant!Y12</f>
        <v>22</v>
      </c>
      <c r="Z12" s="24">
        <f t="shared" si="9"/>
        <v>0.02217741935</v>
      </c>
      <c r="AA12" s="25"/>
    </row>
    <row r="13">
      <c r="A13" s="26">
        <v>6.0</v>
      </c>
      <c r="B13" s="27" t="s">
        <v>24</v>
      </c>
      <c r="C13" s="26" t="s">
        <v>23</v>
      </c>
      <c r="D13" s="26">
        <v>195.0</v>
      </c>
      <c r="E13" s="28">
        <v>30.0</v>
      </c>
      <c r="F13" s="29">
        <f t="shared" si="1"/>
        <v>42</v>
      </c>
      <c r="G13" s="23">
        <f t="shared" si="2"/>
        <v>8190</v>
      </c>
      <c r="H13" s="30"/>
      <c r="I13" s="31"/>
      <c r="J13" s="31">
        <v>42.0</v>
      </c>
      <c r="K13" s="19">
        <f t="shared" si="3"/>
        <v>8190</v>
      </c>
      <c r="L13" s="31">
        <v>0.0</v>
      </c>
      <c r="M13" s="20">
        <f t="shared" si="4"/>
        <v>0</v>
      </c>
      <c r="N13" s="32">
        <f t="shared" si="5"/>
        <v>0</v>
      </c>
      <c r="O13" s="31">
        <v>42.0</v>
      </c>
      <c r="P13" s="22">
        <f t="shared" si="6"/>
        <v>8190</v>
      </c>
      <c r="Q13" s="30"/>
      <c r="R13" s="30"/>
      <c r="S13" s="30">
        <v>42.0</v>
      </c>
      <c r="T13" s="18">
        <f t="shared" si="7"/>
        <v>8190</v>
      </c>
      <c r="U13" s="30"/>
      <c r="V13" s="67"/>
      <c r="W13" s="29">
        <f>ZEESHAN!W13+SAQIB!W13</f>
        <v>156</v>
      </c>
      <c r="X13" s="23">
        <f t="shared" si="8"/>
        <v>30420</v>
      </c>
      <c r="Y13" s="18">
        <f>SHAHEER!Y13+vacant!Y13</f>
        <v>0</v>
      </c>
      <c r="Z13" s="24">
        <f t="shared" si="9"/>
        <v>0</v>
      </c>
      <c r="AA13" s="25"/>
    </row>
    <row r="14">
      <c r="A14" s="26">
        <v>7.0</v>
      </c>
      <c r="B14" s="27" t="s">
        <v>25</v>
      </c>
      <c r="C14" s="26" t="s">
        <v>23</v>
      </c>
      <c r="D14" s="26">
        <v>648.52</v>
      </c>
      <c r="E14" s="28">
        <v>30.0</v>
      </c>
      <c r="F14" s="29">
        <f t="shared" si="1"/>
        <v>42</v>
      </c>
      <c r="G14" s="23">
        <f t="shared" si="2"/>
        <v>27237.84</v>
      </c>
      <c r="H14" s="30"/>
      <c r="I14" s="31"/>
      <c r="J14" s="31">
        <v>42.0</v>
      </c>
      <c r="K14" s="19">
        <f t="shared" si="3"/>
        <v>27237.84</v>
      </c>
      <c r="L14" s="31">
        <v>1.0</v>
      </c>
      <c r="M14" s="20">
        <f t="shared" si="4"/>
        <v>648.52</v>
      </c>
      <c r="N14" s="32">
        <f t="shared" si="5"/>
        <v>0.02380952381</v>
      </c>
      <c r="O14" s="31">
        <v>42.0</v>
      </c>
      <c r="P14" s="22">
        <f t="shared" si="6"/>
        <v>27237.84</v>
      </c>
      <c r="Q14" s="30"/>
      <c r="R14" s="30"/>
      <c r="S14" s="30">
        <v>42.0</v>
      </c>
      <c r="T14" s="18">
        <f t="shared" si="7"/>
        <v>27237.84</v>
      </c>
      <c r="U14" s="30"/>
      <c r="V14" s="67"/>
      <c r="W14" s="29">
        <f>ZEESHAN!W14+SAQIB!W14</f>
        <v>156</v>
      </c>
      <c r="X14" s="23">
        <f t="shared" si="8"/>
        <v>101169.12</v>
      </c>
      <c r="Y14" s="18">
        <f>SHAHEER!Y14+vacant!Y14</f>
        <v>2</v>
      </c>
      <c r="Z14" s="24">
        <f t="shared" si="9"/>
        <v>0.01282051282</v>
      </c>
      <c r="AA14" s="25"/>
    </row>
    <row r="15">
      <c r="A15" s="26">
        <v>8.0</v>
      </c>
      <c r="B15" s="27" t="s">
        <v>26</v>
      </c>
      <c r="C15" s="26" t="s">
        <v>21</v>
      </c>
      <c r="D15" s="26">
        <v>51.0</v>
      </c>
      <c r="E15" s="28">
        <v>300.0</v>
      </c>
      <c r="F15" s="29">
        <f t="shared" si="1"/>
        <v>417.3076923</v>
      </c>
      <c r="G15" s="23">
        <f t="shared" si="2"/>
        <v>21282.69231</v>
      </c>
      <c r="H15" s="30"/>
      <c r="I15" s="31"/>
      <c r="J15" s="31">
        <v>417.30769230769226</v>
      </c>
      <c r="K15" s="19">
        <f t="shared" si="3"/>
        <v>21282.69231</v>
      </c>
      <c r="L15" s="31">
        <v>159.0</v>
      </c>
      <c r="M15" s="20">
        <f t="shared" si="4"/>
        <v>8109</v>
      </c>
      <c r="N15" s="32">
        <f t="shared" si="5"/>
        <v>0.3810138249</v>
      </c>
      <c r="O15" s="31">
        <v>417.30769230769226</v>
      </c>
      <c r="P15" s="22">
        <f t="shared" si="6"/>
        <v>21282.69231</v>
      </c>
      <c r="Q15" s="30"/>
      <c r="R15" s="30"/>
      <c r="S15" s="30">
        <v>417.30769230769226</v>
      </c>
      <c r="T15" s="18">
        <f t="shared" si="7"/>
        <v>21282.69231</v>
      </c>
      <c r="U15" s="30"/>
      <c r="V15" s="67"/>
      <c r="W15" s="29">
        <f>ZEESHAN!W15+SAQIB!W15</f>
        <v>1550</v>
      </c>
      <c r="X15" s="23">
        <f t="shared" si="8"/>
        <v>79050</v>
      </c>
      <c r="Y15" s="18">
        <f>SHAHEER!Y15+vacant!Y15</f>
        <v>216</v>
      </c>
      <c r="Z15" s="24">
        <f t="shared" si="9"/>
        <v>0.1393548387</v>
      </c>
      <c r="AA15" s="25"/>
    </row>
    <row r="16">
      <c r="A16" s="26">
        <v>9.0</v>
      </c>
      <c r="B16" s="27" t="s">
        <v>27</v>
      </c>
      <c r="C16" s="26" t="s">
        <v>28</v>
      </c>
      <c r="D16" s="26">
        <v>189.25</v>
      </c>
      <c r="E16" s="28">
        <v>560.0</v>
      </c>
      <c r="F16" s="29">
        <f t="shared" si="1"/>
        <v>779.1538462</v>
      </c>
      <c r="G16" s="23">
        <f t="shared" si="2"/>
        <v>147454.8654</v>
      </c>
      <c r="H16" s="30"/>
      <c r="I16" s="31"/>
      <c r="J16" s="31">
        <v>779.1538461538462</v>
      </c>
      <c r="K16" s="19">
        <f t="shared" si="3"/>
        <v>147454.8654</v>
      </c>
      <c r="L16" s="31">
        <v>79.0</v>
      </c>
      <c r="M16" s="20">
        <f t="shared" si="4"/>
        <v>14950.75</v>
      </c>
      <c r="N16" s="32">
        <f t="shared" si="5"/>
        <v>0.1013920426</v>
      </c>
      <c r="O16" s="31">
        <v>779.1538461538462</v>
      </c>
      <c r="P16" s="22">
        <f t="shared" si="6"/>
        <v>147454.8654</v>
      </c>
      <c r="Q16" s="30"/>
      <c r="R16" s="30"/>
      <c r="S16" s="30">
        <v>779.1538461538462</v>
      </c>
      <c r="T16" s="18">
        <f t="shared" si="7"/>
        <v>147454.8654</v>
      </c>
      <c r="U16" s="30"/>
      <c r="V16" s="67"/>
      <c r="W16" s="29">
        <f>ZEESHAN!W16+SAQIB!W16</f>
        <v>2894</v>
      </c>
      <c r="X16" s="23">
        <f t="shared" si="8"/>
        <v>547689.5</v>
      </c>
      <c r="Y16" s="18">
        <f>SHAHEER!Y16+vacant!Y16</f>
        <v>165</v>
      </c>
      <c r="Z16" s="24">
        <f t="shared" si="9"/>
        <v>0.05701451279</v>
      </c>
      <c r="AA16" s="25"/>
    </row>
    <row r="17">
      <c r="A17" s="26">
        <v>10.0</v>
      </c>
      <c r="B17" s="27" t="s">
        <v>29</v>
      </c>
      <c r="C17" s="26" t="s">
        <v>30</v>
      </c>
      <c r="D17" s="26">
        <v>128.86</v>
      </c>
      <c r="E17" s="28">
        <v>550.0</v>
      </c>
      <c r="F17" s="29">
        <f t="shared" si="1"/>
        <v>765.1538462</v>
      </c>
      <c r="G17" s="23">
        <f t="shared" si="2"/>
        <v>98597.72462</v>
      </c>
      <c r="H17" s="30"/>
      <c r="I17" s="31"/>
      <c r="J17" s="31">
        <v>765.1538461538462</v>
      </c>
      <c r="K17" s="19">
        <f t="shared" si="3"/>
        <v>98597.72462</v>
      </c>
      <c r="L17" s="31">
        <v>0.0</v>
      </c>
      <c r="M17" s="20">
        <f t="shared" si="4"/>
        <v>0</v>
      </c>
      <c r="N17" s="32">
        <f t="shared" si="5"/>
        <v>0</v>
      </c>
      <c r="O17" s="31">
        <v>765.1538461538462</v>
      </c>
      <c r="P17" s="22">
        <f t="shared" si="6"/>
        <v>98597.72462</v>
      </c>
      <c r="Q17" s="30"/>
      <c r="R17" s="30"/>
      <c r="S17" s="30">
        <v>765.1538461538462</v>
      </c>
      <c r="T17" s="18">
        <f t="shared" si="7"/>
        <v>98597.72462</v>
      </c>
      <c r="U17" s="30"/>
      <c r="V17" s="67"/>
      <c r="W17" s="29">
        <f>ZEESHAN!W17+SAQIB!W17</f>
        <v>2842</v>
      </c>
      <c r="X17" s="23">
        <f t="shared" si="8"/>
        <v>366220.12</v>
      </c>
      <c r="Y17" s="18">
        <f>SHAHEER!Y17+vacant!Y17</f>
        <v>0</v>
      </c>
      <c r="Z17" s="24">
        <f t="shared" si="9"/>
        <v>0</v>
      </c>
      <c r="AA17" s="25"/>
    </row>
    <row r="18">
      <c r="A18" s="26">
        <v>11.0</v>
      </c>
      <c r="B18" s="27" t="s">
        <v>31</v>
      </c>
      <c r="C18" s="26" t="s">
        <v>32</v>
      </c>
      <c r="D18" s="26">
        <v>94.9</v>
      </c>
      <c r="E18" s="28">
        <v>650.0</v>
      </c>
      <c r="F18" s="29">
        <f t="shared" si="1"/>
        <v>904.0769231</v>
      </c>
      <c r="G18" s="23">
        <f t="shared" si="2"/>
        <v>85796.9</v>
      </c>
      <c r="H18" s="30"/>
      <c r="I18" s="31"/>
      <c r="J18" s="31">
        <v>904.0769230769231</v>
      </c>
      <c r="K18" s="19">
        <f t="shared" si="3"/>
        <v>85796.9</v>
      </c>
      <c r="L18" s="31">
        <v>90.0</v>
      </c>
      <c r="M18" s="20">
        <f t="shared" si="4"/>
        <v>8541</v>
      </c>
      <c r="N18" s="32">
        <f t="shared" si="5"/>
        <v>0.09954905131</v>
      </c>
      <c r="O18" s="31">
        <v>904.0769230769231</v>
      </c>
      <c r="P18" s="22">
        <f t="shared" si="6"/>
        <v>85796.9</v>
      </c>
      <c r="Q18" s="30"/>
      <c r="R18" s="30"/>
      <c r="S18" s="30">
        <v>904.0769230769231</v>
      </c>
      <c r="T18" s="18">
        <f t="shared" si="7"/>
        <v>85796.9</v>
      </c>
      <c r="U18" s="30"/>
      <c r="V18" s="67"/>
      <c r="W18" s="29">
        <f>ZEESHAN!W18+SAQIB!W18</f>
        <v>3358</v>
      </c>
      <c r="X18" s="23">
        <f t="shared" si="8"/>
        <v>318674.2</v>
      </c>
      <c r="Y18" s="18">
        <f>SHAHEER!Y18+vacant!Y18</f>
        <v>162</v>
      </c>
      <c r="Z18" s="24">
        <f t="shared" si="9"/>
        <v>0.04824300179</v>
      </c>
      <c r="AA18" s="25"/>
    </row>
    <row r="19">
      <c r="A19" s="26">
        <v>12.0</v>
      </c>
      <c r="B19" s="27" t="s">
        <v>33</v>
      </c>
      <c r="C19" s="26" t="s">
        <v>34</v>
      </c>
      <c r="D19" s="26">
        <v>85.33</v>
      </c>
      <c r="E19" s="28">
        <v>550.0</v>
      </c>
      <c r="F19" s="29">
        <f t="shared" si="1"/>
        <v>765.1538462</v>
      </c>
      <c r="G19" s="23">
        <f t="shared" si="2"/>
        <v>65290.57769</v>
      </c>
      <c r="H19" s="30"/>
      <c r="I19" s="31"/>
      <c r="J19" s="31">
        <v>765.1538461538462</v>
      </c>
      <c r="K19" s="19">
        <f t="shared" si="3"/>
        <v>65290.57769</v>
      </c>
      <c r="L19" s="31">
        <v>145.0</v>
      </c>
      <c r="M19" s="20">
        <f t="shared" si="4"/>
        <v>12372.85</v>
      </c>
      <c r="N19" s="32">
        <f t="shared" si="5"/>
        <v>0.1895043732</v>
      </c>
      <c r="O19" s="31">
        <v>765.1538461538462</v>
      </c>
      <c r="P19" s="22">
        <f t="shared" si="6"/>
        <v>65290.57769</v>
      </c>
      <c r="Q19" s="30"/>
      <c r="R19" s="30"/>
      <c r="S19" s="30">
        <v>765.1538461538462</v>
      </c>
      <c r="T19" s="18">
        <f t="shared" si="7"/>
        <v>65290.57769</v>
      </c>
      <c r="U19" s="30"/>
      <c r="V19" s="67"/>
      <c r="W19" s="29">
        <f>ZEESHAN!W19+SAQIB!W19</f>
        <v>2842</v>
      </c>
      <c r="X19" s="23">
        <f t="shared" si="8"/>
        <v>242507.86</v>
      </c>
      <c r="Y19" s="18">
        <f>SHAHEER!Y19+vacant!Y19</f>
        <v>227</v>
      </c>
      <c r="Z19" s="24">
        <f t="shared" si="9"/>
        <v>0.07987332864</v>
      </c>
      <c r="AA19" s="25"/>
    </row>
    <row r="20">
      <c r="A20" s="26">
        <v>13.0</v>
      </c>
      <c r="B20" s="27" t="s">
        <v>35</v>
      </c>
      <c r="C20" s="26" t="s">
        <v>34</v>
      </c>
      <c r="D20" s="26">
        <v>64.65</v>
      </c>
      <c r="E20" s="28">
        <v>200.0</v>
      </c>
      <c r="F20" s="29">
        <f t="shared" si="1"/>
        <v>278.3846154</v>
      </c>
      <c r="G20" s="23">
        <f t="shared" si="2"/>
        <v>17997.56538</v>
      </c>
      <c r="H20" s="30"/>
      <c r="I20" s="31"/>
      <c r="J20" s="31">
        <v>278.38461538461536</v>
      </c>
      <c r="K20" s="19">
        <f t="shared" si="3"/>
        <v>17997.56538</v>
      </c>
      <c r="L20" s="31">
        <v>0.0</v>
      </c>
      <c r="M20" s="20">
        <f t="shared" si="4"/>
        <v>0</v>
      </c>
      <c r="N20" s="32">
        <f t="shared" si="5"/>
        <v>0</v>
      </c>
      <c r="O20" s="31">
        <v>278.38461538461536</v>
      </c>
      <c r="P20" s="22">
        <f t="shared" si="6"/>
        <v>17997.56538</v>
      </c>
      <c r="Q20" s="30"/>
      <c r="R20" s="30"/>
      <c r="S20" s="30">
        <v>278.38461538461536</v>
      </c>
      <c r="T20" s="18">
        <f t="shared" si="7"/>
        <v>17997.56538</v>
      </c>
      <c r="U20" s="30"/>
      <c r="V20" s="67"/>
      <c r="W20" s="29">
        <f>ZEESHAN!W20+SAQIB!W20</f>
        <v>1034</v>
      </c>
      <c r="X20" s="23">
        <f t="shared" si="8"/>
        <v>66848.1</v>
      </c>
      <c r="Y20" s="18">
        <f>SHAHEER!Y20+vacant!Y20</f>
        <v>0</v>
      </c>
      <c r="Z20" s="24">
        <f t="shared" si="9"/>
        <v>0</v>
      </c>
      <c r="AA20" s="25"/>
    </row>
    <row r="21" ht="15.75" customHeight="1">
      <c r="A21" s="26">
        <v>14.0</v>
      </c>
      <c r="B21" s="27" t="s">
        <v>36</v>
      </c>
      <c r="C21" s="26" t="s">
        <v>28</v>
      </c>
      <c r="D21" s="26">
        <v>99.39</v>
      </c>
      <c r="E21" s="28">
        <v>150.0</v>
      </c>
      <c r="F21" s="29">
        <f t="shared" si="1"/>
        <v>208.9230769</v>
      </c>
      <c r="G21" s="23">
        <f t="shared" si="2"/>
        <v>20764.86462</v>
      </c>
      <c r="H21" s="30"/>
      <c r="I21" s="31"/>
      <c r="J21" s="31">
        <v>208.92307692307693</v>
      </c>
      <c r="K21" s="19">
        <f t="shared" si="3"/>
        <v>20764.86462</v>
      </c>
      <c r="L21" s="31">
        <v>0.0</v>
      </c>
      <c r="M21" s="20">
        <f t="shared" si="4"/>
        <v>0</v>
      </c>
      <c r="N21" s="32">
        <f t="shared" si="5"/>
        <v>0</v>
      </c>
      <c r="O21" s="31">
        <v>208.92307692307693</v>
      </c>
      <c r="P21" s="22">
        <f t="shared" si="6"/>
        <v>20764.86462</v>
      </c>
      <c r="Q21" s="30"/>
      <c r="R21" s="30"/>
      <c r="S21" s="30">
        <v>208.92307692307693</v>
      </c>
      <c r="T21" s="18">
        <f t="shared" si="7"/>
        <v>20764.86462</v>
      </c>
      <c r="U21" s="30"/>
      <c r="V21" s="67"/>
      <c r="W21" s="29">
        <f>ZEESHAN!W21+SAQIB!W21</f>
        <v>776</v>
      </c>
      <c r="X21" s="23">
        <f t="shared" si="8"/>
        <v>77126.64</v>
      </c>
      <c r="Y21" s="18">
        <f>SHAHEER!Y21+vacant!Y21</f>
        <v>0</v>
      </c>
      <c r="Z21" s="24">
        <f t="shared" si="9"/>
        <v>0</v>
      </c>
      <c r="AA21" s="25"/>
    </row>
    <row r="22" ht="15.75" customHeight="1">
      <c r="A22" s="33">
        <v>15.0</v>
      </c>
      <c r="B22" s="34" t="s">
        <v>37</v>
      </c>
      <c r="C22" s="33" t="s">
        <v>21</v>
      </c>
      <c r="D22" s="33">
        <v>89.64</v>
      </c>
      <c r="E22" s="35">
        <v>300.0</v>
      </c>
      <c r="F22" s="36">
        <f t="shared" si="1"/>
        <v>417.3076923</v>
      </c>
      <c r="G22" s="37">
        <f t="shared" si="2"/>
        <v>37407.46154</v>
      </c>
      <c r="H22" s="38"/>
      <c r="I22" s="39"/>
      <c r="J22" s="77">
        <v>417.30769230769226</v>
      </c>
      <c r="K22" s="78">
        <f t="shared" si="3"/>
        <v>37407.46154</v>
      </c>
      <c r="L22" s="77">
        <v>174.0</v>
      </c>
      <c r="M22" s="88">
        <f t="shared" si="4"/>
        <v>15597.36</v>
      </c>
      <c r="N22" s="80">
        <f t="shared" si="5"/>
        <v>0.4169585253</v>
      </c>
      <c r="O22" s="39">
        <v>417.30769230769226</v>
      </c>
      <c r="P22" s="22">
        <f t="shared" si="6"/>
        <v>37407.46154</v>
      </c>
      <c r="Q22" s="38"/>
      <c r="R22" s="38"/>
      <c r="S22" s="38">
        <v>417.30769230769226</v>
      </c>
      <c r="T22" s="18">
        <f t="shared" si="7"/>
        <v>37407.46154</v>
      </c>
      <c r="U22" s="38"/>
      <c r="V22" s="68"/>
      <c r="W22" s="36">
        <f>ZEESHAN!W22+SAQIB!W22</f>
        <v>1550</v>
      </c>
      <c r="X22" s="23">
        <f t="shared" si="8"/>
        <v>138942</v>
      </c>
      <c r="Y22" s="18">
        <f>SHAHEER!Y22+vacant!Y22</f>
        <v>100</v>
      </c>
      <c r="Z22" s="24">
        <f t="shared" si="9"/>
        <v>0.06451612903</v>
      </c>
      <c r="AA22" s="25"/>
    </row>
    <row r="23" ht="15.75" customHeight="1">
      <c r="A23" s="41" t="s">
        <v>38</v>
      </c>
      <c r="B23" s="7"/>
      <c r="C23" s="8"/>
      <c r="D23" s="42"/>
      <c r="E23" s="43"/>
      <c r="F23" s="44">
        <f>SUM(F8:F22)</f>
        <v>7669.307692</v>
      </c>
      <c r="G23" s="45">
        <f t="shared" si="2"/>
        <v>0</v>
      </c>
      <c r="H23" s="46"/>
      <c r="I23" s="46"/>
      <c r="J23" s="81">
        <f t="shared" ref="J23:M23" si="10">SUM(J8:J22)</f>
        <v>7669.307692</v>
      </c>
      <c r="K23" s="81">
        <f t="shared" si="10"/>
        <v>833477.2815</v>
      </c>
      <c r="L23" s="81">
        <f t="shared" si="10"/>
        <v>2872</v>
      </c>
      <c r="M23" s="82">
        <f t="shared" si="10"/>
        <v>310655.8</v>
      </c>
      <c r="N23" s="83">
        <f t="shared" si="5"/>
        <v>0.3744796943</v>
      </c>
      <c r="O23" s="84">
        <f>SUM(O8:O22)</f>
        <v>7669.307692</v>
      </c>
      <c r="P23" s="50">
        <f t="shared" si="6"/>
        <v>0</v>
      </c>
      <c r="Q23" s="46"/>
      <c r="R23" s="46"/>
      <c r="S23" s="47">
        <f t="shared" ref="S23:T23" si="11">SUM(S8:S22)</f>
        <v>7669.307692</v>
      </c>
      <c r="T23" s="47">
        <f t="shared" si="11"/>
        <v>833477.2815</v>
      </c>
      <c r="U23" s="47"/>
      <c r="V23" s="47"/>
      <c r="W23" s="51">
        <f>SUM(W8:W22)</f>
        <v>28486</v>
      </c>
      <c r="X23" s="52">
        <f t="shared" si="8"/>
        <v>0</v>
      </c>
      <c r="Y23" s="69">
        <f>SHAHEER!Y23+vacant!Y23</f>
        <v>6194</v>
      </c>
      <c r="Z23" s="24">
        <f t="shared" si="9"/>
        <v>0.217440146</v>
      </c>
    </row>
    <row r="24" ht="15.75" customHeight="1">
      <c r="A24" s="41" t="s">
        <v>39</v>
      </c>
      <c r="B24" s="7"/>
      <c r="C24" s="8"/>
      <c r="D24" s="53"/>
      <c r="E24" s="54">
        <f>SUM(E8:E23)</f>
        <v>5512</v>
      </c>
      <c r="F24" s="55">
        <f>G24</f>
        <v>833477.2815</v>
      </c>
      <c r="G24" s="55">
        <f>SUM(G8:G23)</f>
        <v>833477.2815</v>
      </c>
      <c r="H24" s="55"/>
      <c r="I24" s="55"/>
      <c r="J24" s="55">
        <f>K23</f>
        <v>833477.2815</v>
      </c>
      <c r="K24" s="55"/>
      <c r="L24" s="55">
        <f>M23</f>
        <v>310655.8</v>
      </c>
      <c r="M24" s="54"/>
      <c r="N24" s="85">
        <f t="shared" si="5"/>
        <v>0.3727225767</v>
      </c>
      <c r="O24" s="86">
        <f>P24</f>
        <v>833477.2815</v>
      </c>
      <c r="P24" s="55">
        <f>SUM(P8:P23)</f>
        <v>833477.2815</v>
      </c>
      <c r="Q24" s="55"/>
      <c r="R24" s="55"/>
      <c r="S24" s="55">
        <f>T23</f>
        <v>833477.2815</v>
      </c>
      <c r="T24" s="55"/>
      <c r="U24" s="55"/>
      <c r="V24" s="55"/>
      <c r="W24" s="89">
        <f>X24</f>
        <v>3095772.76</v>
      </c>
      <c r="X24" s="72">
        <f>SUM(X8:X23)</f>
        <v>3095772.76</v>
      </c>
      <c r="Y24" s="73">
        <f>SHAHEER!Y24+vacant!Y24</f>
        <v>686155.57</v>
      </c>
      <c r="Z24" s="90">
        <f t="shared" si="9"/>
        <v>0.2216427442</v>
      </c>
      <c r="AA24" s="58"/>
    </row>
    <row r="25" ht="15.75" customHeight="1">
      <c r="B25" s="62"/>
      <c r="C25" s="62"/>
      <c r="D25" s="62"/>
      <c r="E25" s="62"/>
      <c r="F25" s="63"/>
      <c r="G25" s="62"/>
      <c r="H25" s="62"/>
      <c r="I25" s="62"/>
      <c r="J25" s="62"/>
      <c r="K25" s="62"/>
      <c r="L25" s="62"/>
      <c r="M25" s="62"/>
      <c r="N25" s="62"/>
      <c r="O25" s="64"/>
    </row>
    <row r="26" ht="15.75" customHeight="1">
      <c r="B26" s="65"/>
      <c r="D26" s="42"/>
      <c r="E26" s="42"/>
    </row>
    <row r="27" ht="15.75" customHeight="1">
      <c r="D27" s="42"/>
      <c r="E27" s="42"/>
    </row>
    <row r="28" ht="15.75" customHeight="1">
      <c r="D28" s="42"/>
      <c r="E28" s="42"/>
    </row>
    <row r="29" ht="15.75" customHeight="1">
      <c r="D29" s="42"/>
      <c r="E29" s="42"/>
    </row>
    <row r="30" ht="15.75" customHeight="1">
      <c r="D30" s="42"/>
      <c r="E30" s="42"/>
    </row>
    <row r="31" ht="15.75" customHeight="1">
      <c r="D31" s="42"/>
      <c r="E31" s="42"/>
    </row>
    <row r="32" ht="15.75" customHeight="1">
      <c r="D32" s="42"/>
      <c r="E32" s="42"/>
    </row>
    <row r="33" ht="15.75" customHeight="1">
      <c r="D33" s="42"/>
      <c r="E33" s="42"/>
    </row>
    <row r="34" ht="15.75" customHeight="1">
      <c r="D34" s="42"/>
      <c r="E34" s="42"/>
    </row>
    <row r="35" ht="15.75" customHeight="1">
      <c r="D35" s="42"/>
      <c r="E35" s="42"/>
    </row>
    <row r="36" ht="15.75" customHeight="1">
      <c r="D36" s="42"/>
      <c r="E36" s="42"/>
    </row>
    <row r="37" ht="15.75" customHeight="1">
      <c r="D37" s="42"/>
      <c r="E37" s="42"/>
    </row>
    <row r="38" ht="15.75" customHeight="1">
      <c r="D38" s="42"/>
      <c r="E38" s="42"/>
    </row>
    <row r="39" ht="15.75" customHeight="1">
      <c r="D39" s="42"/>
      <c r="E39" s="42"/>
    </row>
    <row r="40" ht="15.75" customHeight="1">
      <c r="D40" s="42"/>
      <c r="E40" s="42"/>
    </row>
    <row r="41" ht="15.75" customHeight="1">
      <c r="D41" s="42"/>
      <c r="E41" s="42"/>
    </row>
    <row r="42" ht="15.75" customHeight="1">
      <c r="D42" s="42"/>
      <c r="E42" s="42"/>
    </row>
    <row r="43" ht="15.75" customHeight="1">
      <c r="D43" s="42"/>
      <c r="E43" s="42"/>
    </row>
    <row r="44" ht="15.75" customHeight="1">
      <c r="D44" s="42"/>
      <c r="E44" s="42"/>
    </row>
    <row r="45" ht="15.75" customHeight="1">
      <c r="D45" s="42"/>
      <c r="E45" s="42"/>
    </row>
    <row r="46" ht="15.75" customHeight="1">
      <c r="D46" s="42"/>
      <c r="E46" s="42"/>
    </row>
    <row r="47" ht="15.75" customHeight="1">
      <c r="D47" s="42"/>
      <c r="E47" s="42"/>
    </row>
    <row r="48" ht="15.75" customHeight="1">
      <c r="D48" s="42"/>
      <c r="E48" s="42"/>
    </row>
    <row r="49" ht="15.75" customHeight="1">
      <c r="D49" s="42"/>
      <c r="E49" s="42"/>
    </row>
    <row r="50" ht="15.75" customHeight="1">
      <c r="D50" s="42"/>
      <c r="E50" s="42"/>
    </row>
    <row r="51" ht="15.75" customHeight="1">
      <c r="D51" s="42"/>
      <c r="E51" s="42"/>
    </row>
    <row r="52" ht="15.75" customHeight="1">
      <c r="D52" s="42"/>
      <c r="E52" s="42"/>
    </row>
    <row r="53" ht="15.75" customHeight="1">
      <c r="D53" s="42"/>
      <c r="E53" s="42"/>
    </row>
    <row r="54" ht="15.75" customHeight="1">
      <c r="D54" s="42"/>
      <c r="E54" s="42"/>
    </row>
    <row r="55" ht="15.75" customHeight="1">
      <c r="D55" s="42"/>
      <c r="E55" s="42"/>
    </row>
    <row r="56" ht="15.75" customHeight="1">
      <c r="D56" s="42"/>
      <c r="E56" s="42"/>
    </row>
    <row r="57" ht="15.75" customHeight="1">
      <c r="D57" s="42"/>
      <c r="E57" s="42"/>
    </row>
    <row r="58" ht="15.75" customHeight="1">
      <c r="D58" s="42"/>
      <c r="E58" s="42"/>
    </row>
    <row r="59" ht="15.75" customHeight="1">
      <c r="D59" s="42"/>
      <c r="E59" s="42"/>
    </row>
    <row r="60" ht="15.75" customHeight="1">
      <c r="D60" s="42"/>
      <c r="E60" s="42"/>
    </row>
    <row r="61" ht="15.75" customHeight="1">
      <c r="D61" s="42"/>
      <c r="E61" s="42"/>
    </row>
    <row r="62" ht="15.75" customHeight="1">
      <c r="D62" s="42"/>
      <c r="E62" s="42"/>
    </row>
    <row r="63" ht="15.75" customHeight="1">
      <c r="D63" s="42"/>
      <c r="E63" s="42"/>
    </row>
    <row r="64" ht="15.75" customHeight="1">
      <c r="D64" s="42"/>
      <c r="E64" s="42"/>
    </row>
    <row r="65" ht="15.75" customHeight="1">
      <c r="D65" s="42"/>
      <c r="E65" s="42"/>
    </row>
    <row r="66" ht="15.75" customHeight="1">
      <c r="D66" s="42"/>
      <c r="E66" s="42"/>
    </row>
    <row r="67" ht="15.75" customHeight="1">
      <c r="D67" s="42"/>
      <c r="E67" s="42"/>
    </row>
    <row r="68" ht="15.75" customHeight="1">
      <c r="D68" s="42"/>
      <c r="E68" s="42"/>
    </row>
    <row r="69" ht="15.75" customHeight="1">
      <c r="D69" s="42"/>
      <c r="E69" s="42"/>
    </row>
    <row r="70" ht="15.75" customHeight="1">
      <c r="D70" s="42"/>
      <c r="E70" s="42"/>
    </row>
    <row r="71" ht="15.75" customHeight="1">
      <c r="D71" s="42"/>
      <c r="E71" s="42"/>
    </row>
    <row r="72" ht="15.75" customHeight="1">
      <c r="D72" s="42"/>
      <c r="E72" s="42"/>
    </row>
    <row r="73" ht="15.75" customHeight="1">
      <c r="D73" s="42"/>
      <c r="E73" s="42"/>
    </row>
    <row r="74" ht="15.75" customHeight="1">
      <c r="D74" s="42"/>
      <c r="E74" s="42"/>
    </row>
    <row r="75" ht="15.75" customHeight="1">
      <c r="D75" s="42"/>
      <c r="E75" s="42"/>
    </row>
    <row r="76" ht="15.75" customHeight="1">
      <c r="D76" s="42"/>
      <c r="E76" s="42"/>
    </row>
    <row r="77" ht="15.75" customHeight="1">
      <c r="D77" s="42"/>
      <c r="E77" s="42"/>
    </row>
    <row r="78" ht="15.75" customHeight="1">
      <c r="D78" s="42"/>
      <c r="E78" s="42"/>
    </row>
    <row r="79" ht="15.75" customHeight="1">
      <c r="D79" s="42"/>
      <c r="E79" s="42"/>
    </row>
    <row r="80" ht="15.75" customHeight="1">
      <c r="D80" s="42"/>
      <c r="E80" s="42"/>
    </row>
    <row r="81" ht="15.75" customHeight="1">
      <c r="D81" s="42"/>
      <c r="E81" s="42"/>
    </row>
    <row r="82" ht="15.75" customHeight="1">
      <c r="D82" s="42"/>
      <c r="E82" s="42"/>
    </row>
    <row r="83" ht="15.75" customHeight="1">
      <c r="D83" s="42"/>
      <c r="E83" s="42"/>
    </row>
    <row r="84" ht="15.75" customHeight="1">
      <c r="D84" s="42"/>
      <c r="E84" s="42"/>
    </row>
    <row r="85" ht="15.75" customHeight="1">
      <c r="D85" s="42"/>
      <c r="E85" s="42"/>
    </row>
    <row r="86" ht="15.75" customHeight="1">
      <c r="D86" s="42"/>
      <c r="E86" s="42"/>
    </row>
    <row r="87" ht="15.75" customHeight="1">
      <c r="D87" s="42"/>
      <c r="E87" s="42"/>
    </row>
    <row r="88" ht="15.75" customHeight="1">
      <c r="D88" s="42"/>
      <c r="E88" s="42"/>
    </row>
    <row r="89" ht="15.75" customHeight="1">
      <c r="D89" s="42"/>
      <c r="E89" s="42"/>
    </row>
    <row r="90" ht="15.75" customHeight="1">
      <c r="D90" s="42"/>
      <c r="E90" s="42"/>
    </row>
    <row r="91" ht="15.75" customHeight="1">
      <c r="D91" s="42"/>
      <c r="E91" s="42"/>
    </row>
    <row r="92" ht="15.75" customHeight="1">
      <c r="D92" s="42"/>
      <c r="E92" s="42"/>
    </row>
    <row r="93" ht="15.75" customHeight="1">
      <c r="D93" s="42"/>
      <c r="E93" s="42"/>
    </row>
    <row r="94" ht="15.75" customHeight="1">
      <c r="D94" s="42"/>
      <c r="E94" s="42"/>
    </row>
    <row r="95" ht="15.75" customHeight="1">
      <c r="D95" s="42"/>
      <c r="E95" s="42"/>
    </row>
    <row r="96" ht="15.75" customHeight="1">
      <c r="D96" s="42"/>
      <c r="E96" s="42"/>
    </row>
    <row r="97" ht="15.75" customHeight="1">
      <c r="D97" s="42"/>
      <c r="E97" s="42"/>
    </row>
    <row r="98" ht="15.75" customHeight="1">
      <c r="D98" s="42"/>
      <c r="E98" s="42"/>
    </row>
    <row r="99" ht="15.75" customHeight="1">
      <c r="D99" s="42"/>
      <c r="E99" s="42"/>
    </row>
    <row r="100" ht="15.75" customHeight="1">
      <c r="D100" s="42"/>
      <c r="E100" s="42"/>
    </row>
    <row r="101" ht="15.75" customHeight="1">
      <c r="D101" s="42"/>
      <c r="E101" s="42"/>
    </row>
    <row r="102" ht="15.75" customHeight="1">
      <c r="D102" s="42"/>
      <c r="E102" s="42"/>
    </row>
    <row r="103" ht="15.75" customHeight="1">
      <c r="D103" s="42"/>
      <c r="E103" s="42"/>
    </row>
    <row r="104" ht="15.75" customHeight="1">
      <c r="D104" s="42"/>
      <c r="E104" s="42"/>
    </row>
    <row r="105" ht="15.75" customHeight="1">
      <c r="D105" s="42"/>
      <c r="E105" s="42"/>
    </row>
    <row r="106" ht="15.75" customHeight="1">
      <c r="D106" s="42"/>
      <c r="E106" s="42"/>
    </row>
    <row r="107" ht="15.75" customHeight="1">
      <c r="D107" s="42"/>
      <c r="E107" s="42"/>
    </row>
    <row r="108" ht="15.75" customHeight="1">
      <c r="D108" s="42"/>
      <c r="E108" s="42"/>
    </row>
    <row r="109" ht="15.75" customHeight="1">
      <c r="D109" s="42"/>
      <c r="E109" s="42"/>
    </row>
    <row r="110" ht="15.75" customHeight="1">
      <c r="D110" s="42"/>
      <c r="E110" s="42"/>
    </row>
    <row r="111" ht="15.75" customHeight="1">
      <c r="D111" s="42"/>
      <c r="E111" s="42"/>
    </row>
    <row r="112" ht="15.75" customHeight="1">
      <c r="D112" s="42"/>
      <c r="E112" s="42"/>
    </row>
    <row r="113" ht="15.75" customHeight="1">
      <c r="D113" s="42"/>
      <c r="E113" s="42"/>
    </row>
    <row r="114" ht="15.75" customHeight="1">
      <c r="D114" s="42"/>
      <c r="E114" s="42"/>
    </row>
    <row r="115" ht="15.75" customHeight="1">
      <c r="D115" s="42"/>
      <c r="E115" s="42"/>
    </row>
    <row r="116" ht="15.75" customHeight="1">
      <c r="D116" s="42"/>
      <c r="E116" s="42"/>
    </row>
    <row r="117" ht="15.75" customHeight="1">
      <c r="D117" s="42"/>
      <c r="E117" s="42"/>
    </row>
    <row r="118" ht="15.75" customHeight="1">
      <c r="D118" s="42"/>
      <c r="E118" s="42"/>
    </row>
    <row r="119" ht="15.75" customHeight="1">
      <c r="D119" s="42"/>
      <c r="E119" s="42"/>
    </row>
    <row r="120" ht="15.75" customHeight="1">
      <c r="D120" s="42"/>
      <c r="E120" s="42"/>
    </row>
    <row r="121" ht="15.75" customHeight="1">
      <c r="D121" s="42"/>
      <c r="E121" s="42"/>
    </row>
    <row r="122" ht="15.75" customHeight="1">
      <c r="D122" s="42"/>
      <c r="E122" s="42"/>
    </row>
    <row r="123" ht="15.75" customHeight="1">
      <c r="D123" s="42"/>
      <c r="E123" s="42"/>
    </row>
    <row r="124" ht="15.75" customHeight="1">
      <c r="D124" s="42"/>
      <c r="E124" s="42"/>
    </row>
    <row r="125" ht="15.75" customHeight="1">
      <c r="D125" s="42"/>
      <c r="E125" s="42"/>
    </row>
    <row r="126" ht="15.75" customHeight="1">
      <c r="D126" s="42"/>
      <c r="E126" s="42"/>
    </row>
    <row r="127" ht="15.75" customHeight="1">
      <c r="D127" s="42"/>
      <c r="E127" s="42"/>
    </row>
    <row r="128" ht="15.75" customHeight="1">
      <c r="D128" s="42"/>
      <c r="E128" s="42"/>
    </row>
    <row r="129" ht="15.75" customHeight="1">
      <c r="D129" s="42"/>
      <c r="E129" s="42"/>
    </row>
    <row r="130" ht="15.75" customHeight="1">
      <c r="D130" s="42"/>
      <c r="E130" s="42"/>
    </row>
    <row r="131" ht="15.75" customHeight="1">
      <c r="D131" s="42"/>
      <c r="E131" s="42"/>
    </row>
    <row r="132" ht="15.75" customHeight="1">
      <c r="D132" s="42"/>
      <c r="E132" s="42"/>
    </row>
    <row r="133" ht="15.75" customHeight="1">
      <c r="D133" s="42"/>
      <c r="E133" s="42"/>
    </row>
    <row r="134" ht="15.75" customHeight="1">
      <c r="D134" s="42"/>
      <c r="E134" s="42"/>
    </row>
    <row r="135" ht="15.75" customHeight="1">
      <c r="D135" s="42"/>
      <c r="E135" s="42"/>
    </row>
    <row r="136" ht="15.75" customHeight="1">
      <c r="D136" s="42"/>
      <c r="E136" s="42"/>
    </row>
    <row r="137" ht="15.75" customHeight="1">
      <c r="D137" s="42"/>
      <c r="E137" s="42"/>
    </row>
    <row r="138" ht="15.75" customHeight="1">
      <c r="D138" s="42"/>
      <c r="E138" s="42"/>
    </row>
    <row r="139" ht="15.75" customHeight="1">
      <c r="D139" s="42"/>
      <c r="E139" s="42"/>
    </row>
    <row r="140" ht="15.75" customHeight="1">
      <c r="D140" s="42"/>
      <c r="E140" s="42"/>
    </row>
    <row r="141" ht="15.75" customHeight="1">
      <c r="D141" s="42"/>
      <c r="E141" s="42"/>
    </row>
    <row r="142" ht="15.75" customHeight="1">
      <c r="D142" s="42"/>
      <c r="E142" s="42"/>
    </row>
    <row r="143" ht="15.75" customHeight="1">
      <c r="D143" s="42"/>
      <c r="E143" s="42"/>
    </row>
    <row r="144" ht="15.75" customHeight="1">
      <c r="D144" s="42"/>
      <c r="E144" s="42"/>
    </row>
    <row r="145" ht="15.75" customHeight="1">
      <c r="D145" s="42"/>
      <c r="E145" s="42"/>
    </row>
    <row r="146" ht="15.75" customHeight="1">
      <c r="D146" s="42"/>
      <c r="E146" s="42"/>
    </row>
    <row r="147" ht="15.75" customHeight="1">
      <c r="D147" s="42"/>
      <c r="E147" s="42"/>
    </row>
    <row r="148" ht="15.75" customHeight="1">
      <c r="D148" s="42"/>
      <c r="E148" s="42"/>
    </row>
    <row r="149" ht="15.75" customHeight="1">
      <c r="D149" s="42"/>
      <c r="E149" s="42"/>
    </row>
    <row r="150" ht="15.75" customHeight="1">
      <c r="D150" s="42"/>
      <c r="E150" s="42"/>
    </row>
    <row r="151" ht="15.75" customHeight="1">
      <c r="D151" s="42"/>
      <c r="E151" s="42"/>
    </row>
    <row r="152" ht="15.75" customHeight="1">
      <c r="D152" s="42"/>
      <c r="E152" s="42"/>
    </row>
    <row r="153" ht="15.75" customHeight="1">
      <c r="D153" s="42"/>
      <c r="E153" s="42"/>
    </row>
    <row r="154" ht="15.75" customHeight="1">
      <c r="D154" s="42"/>
      <c r="E154" s="42"/>
    </row>
    <row r="155" ht="15.75" customHeight="1">
      <c r="D155" s="42"/>
      <c r="E155" s="42"/>
    </row>
    <row r="156" ht="15.75" customHeight="1">
      <c r="D156" s="42"/>
      <c r="E156" s="42"/>
    </row>
    <row r="157" ht="15.75" customHeight="1">
      <c r="D157" s="42"/>
      <c r="E157" s="42"/>
    </row>
    <row r="158" ht="15.75" customHeight="1">
      <c r="D158" s="42"/>
      <c r="E158" s="42"/>
    </row>
    <row r="159" ht="15.75" customHeight="1">
      <c r="D159" s="42"/>
      <c r="E159" s="42"/>
    </row>
    <row r="160" ht="15.75" customHeight="1">
      <c r="D160" s="42"/>
      <c r="E160" s="42"/>
    </row>
    <row r="161" ht="15.75" customHeight="1">
      <c r="D161" s="42"/>
      <c r="E161" s="42"/>
    </row>
    <row r="162" ht="15.75" customHeight="1">
      <c r="D162" s="42"/>
      <c r="E162" s="42"/>
    </row>
    <row r="163" ht="15.75" customHeight="1">
      <c r="D163" s="42"/>
      <c r="E163" s="42"/>
    </row>
    <row r="164" ht="15.75" customHeight="1">
      <c r="D164" s="42"/>
      <c r="E164" s="42"/>
    </row>
    <row r="165" ht="15.75" customHeight="1">
      <c r="D165" s="42"/>
      <c r="E165" s="42"/>
    </row>
    <row r="166" ht="15.75" customHeight="1">
      <c r="D166" s="42"/>
      <c r="E166" s="42"/>
    </row>
    <row r="167" ht="15.75" customHeight="1">
      <c r="D167" s="42"/>
      <c r="E167" s="42"/>
    </row>
    <row r="168" ht="15.75" customHeight="1">
      <c r="D168" s="42"/>
      <c r="E168" s="42"/>
    </row>
    <row r="169" ht="15.75" customHeight="1">
      <c r="D169" s="42"/>
      <c r="E169" s="42"/>
    </row>
    <row r="170" ht="15.75" customHeight="1">
      <c r="D170" s="42"/>
      <c r="E170" s="42"/>
    </row>
    <row r="171" ht="15.75" customHeight="1">
      <c r="D171" s="42"/>
      <c r="E171" s="42"/>
    </row>
    <row r="172" ht="15.75" customHeight="1">
      <c r="D172" s="42"/>
      <c r="E172" s="42"/>
    </row>
    <row r="173" ht="15.75" customHeight="1">
      <c r="D173" s="42"/>
      <c r="E173" s="42"/>
    </row>
    <row r="174" ht="15.75" customHeight="1">
      <c r="D174" s="42"/>
      <c r="E174" s="42"/>
    </row>
    <row r="175" ht="15.75" customHeight="1">
      <c r="D175" s="42"/>
      <c r="E175" s="42"/>
    </row>
    <row r="176" ht="15.75" customHeight="1">
      <c r="D176" s="42"/>
      <c r="E176" s="42"/>
    </row>
    <row r="177" ht="15.75" customHeight="1">
      <c r="D177" s="42"/>
      <c r="E177" s="42"/>
    </row>
    <row r="178" ht="15.75" customHeight="1">
      <c r="D178" s="42"/>
      <c r="E178" s="42"/>
    </row>
    <row r="179" ht="15.75" customHeight="1">
      <c r="D179" s="42"/>
      <c r="E179" s="42"/>
    </row>
    <row r="180" ht="15.75" customHeight="1">
      <c r="D180" s="42"/>
      <c r="E180" s="42"/>
    </row>
    <row r="181" ht="15.75" customHeight="1">
      <c r="D181" s="42"/>
      <c r="E181" s="42"/>
    </row>
    <row r="182" ht="15.75" customHeight="1">
      <c r="D182" s="42"/>
      <c r="E182" s="42"/>
    </row>
    <row r="183" ht="15.75" customHeight="1">
      <c r="D183" s="42"/>
      <c r="E183" s="42"/>
    </row>
    <row r="184" ht="15.75" customHeight="1">
      <c r="D184" s="42"/>
      <c r="E184" s="42"/>
    </row>
    <row r="185" ht="15.75" customHeight="1">
      <c r="D185" s="42"/>
      <c r="E185" s="42"/>
    </row>
    <row r="186" ht="15.75" customHeight="1">
      <c r="D186" s="42"/>
      <c r="E186" s="42"/>
    </row>
    <row r="187" ht="15.75" customHeight="1">
      <c r="D187" s="42"/>
      <c r="E187" s="42"/>
    </row>
    <row r="188" ht="15.75" customHeight="1">
      <c r="D188" s="42"/>
      <c r="E188" s="42"/>
    </row>
    <row r="189" ht="15.75" customHeight="1">
      <c r="D189" s="42"/>
      <c r="E189" s="42"/>
    </row>
    <row r="190" ht="15.75" customHeight="1">
      <c r="D190" s="42"/>
      <c r="E190" s="42"/>
    </row>
    <row r="191" ht="15.75" customHeight="1">
      <c r="D191" s="42"/>
      <c r="E191" s="42"/>
    </row>
    <row r="192" ht="15.75" customHeight="1">
      <c r="D192" s="42"/>
      <c r="E192" s="42"/>
    </row>
    <row r="193" ht="15.75" customHeight="1">
      <c r="D193" s="42"/>
      <c r="E193" s="42"/>
    </row>
    <row r="194" ht="15.75" customHeight="1">
      <c r="D194" s="42"/>
      <c r="E194" s="42"/>
    </row>
    <row r="195" ht="15.75" customHeight="1">
      <c r="D195" s="42"/>
      <c r="E195" s="42"/>
    </row>
    <row r="196" ht="15.75" customHeight="1">
      <c r="D196" s="42"/>
      <c r="E196" s="42"/>
    </row>
    <row r="197" ht="15.75" customHeight="1">
      <c r="D197" s="42"/>
      <c r="E197" s="42"/>
    </row>
    <row r="198" ht="15.75" customHeight="1">
      <c r="D198" s="42"/>
      <c r="E198" s="42"/>
    </row>
    <row r="199" ht="15.75" customHeight="1">
      <c r="D199" s="42"/>
      <c r="E199" s="42"/>
    </row>
    <row r="200" ht="15.75" customHeight="1">
      <c r="D200" s="42"/>
      <c r="E200" s="42"/>
    </row>
    <row r="201" ht="15.75" customHeight="1">
      <c r="D201" s="42"/>
      <c r="E201" s="42"/>
    </row>
    <row r="202" ht="15.75" customHeight="1">
      <c r="D202" s="42"/>
      <c r="E202" s="42"/>
    </row>
    <row r="203" ht="15.75" customHeight="1">
      <c r="D203" s="42"/>
      <c r="E203" s="42"/>
    </row>
    <row r="204" ht="15.75" customHeight="1">
      <c r="D204" s="42"/>
      <c r="E204" s="42"/>
    </row>
    <row r="205" ht="15.75" customHeight="1">
      <c r="D205" s="42"/>
      <c r="E205" s="42"/>
    </row>
    <row r="206" ht="15.75" customHeight="1">
      <c r="D206" s="42"/>
      <c r="E206" s="42"/>
    </row>
    <row r="207" ht="15.75" customHeight="1">
      <c r="D207" s="42"/>
      <c r="E207" s="42"/>
    </row>
    <row r="208" ht="15.75" customHeight="1">
      <c r="D208" s="42"/>
      <c r="E208" s="42"/>
    </row>
    <row r="209" ht="15.75" customHeight="1">
      <c r="D209" s="42"/>
      <c r="E209" s="42"/>
    </row>
    <row r="210" ht="15.75" customHeight="1">
      <c r="D210" s="42"/>
      <c r="E210" s="42"/>
    </row>
    <row r="211" ht="15.75" customHeight="1">
      <c r="D211" s="42"/>
      <c r="E211" s="42"/>
    </row>
    <row r="212" ht="15.75" customHeight="1">
      <c r="D212" s="42"/>
      <c r="E212" s="42"/>
    </row>
    <row r="213" ht="15.75" customHeight="1">
      <c r="D213" s="42"/>
      <c r="E213" s="42"/>
    </row>
    <row r="214" ht="15.75" customHeight="1">
      <c r="D214" s="42"/>
      <c r="E214" s="42"/>
    </row>
    <row r="215" ht="15.75" customHeight="1">
      <c r="D215" s="42"/>
      <c r="E215" s="42"/>
    </row>
    <row r="216" ht="15.75" customHeight="1">
      <c r="D216" s="42"/>
      <c r="E216" s="42"/>
    </row>
    <row r="217" ht="15.75" customHeight="1">
      <c r="D217" s="42"/>
      <c r="E217" s="42"/>
    </row>
    <row r="218" ht="15.75" customHeight="1">
      <c r="D218" s="42"/>
      <c r="E218" s="42"/>
    </row>
    <row r="219" ht="15.75" customHeight="1">
      <c r="D219" s="42"/>
      <c r="E219" s="42"/>
    </row>
    <row r="220" ht="15.75" customHeight="1">
      <c r="D220" s="42"/>
      <c r="E220" s="42"/>
    </row>
    <row r="221" ht="15.75" customHeight="1">
      <c r="D221" s="42"/>
      <c r="E221" s="42"/>
    </row>
    <row r="222" ht="15.75" customHeight="1">
      <c r="D222" s="42"/>
      <c r="E222" s="42"/>
    </row>
    <row r="223" ht="15.75" customHeight="1">
      <c r="D223" s="42"/>
      <c r="E223" s="42"/>
    </row>
    <row r="224" ht="15.75" customHeight="1">
      <c r="D224" s="42"/>
      <c r="E224" s="42"/>
    </row>
    <row r="225" ht="15.75" customHeight="1">
      <c r="D225" s="42"/>
      <c r="E225" s="42"/>
    </row>
    <row r="226" ht="15.75" customHeight="1">
      <c r="D226" s="42"/>
      <c r="E226" s="42"/>
    </row>
    <row r="227" ht="15.75" customHeight="1">
      <c r="D227" s="42"/>
      <c r="E227" s="42"/>
    </row>
    <row r="228" ht="15.75" customHeight="1">
      <c r="D228" s="42"/>
      <c r="E228" s="42"/>
    </row>
    <row r="229" ht="15.75" customHeight="1">
      <c r="D229" s="42"/>
      <c r="E229" s="42"/>
    </row>
    <row r="230" ht="15.75" customHeight="1">
      <c r="D230" s="42"/>
      <c r="E230" s="42"/>
    </row>
    <row r="231" ht="15.75" customHeight="1">
      <c r="D231" s="42"/>
      <c r="E231" s="42"/>
    </row>
    <row r="232" ht="15.75" customHeight="1">
      <c r="D232" s="42"/>
      <c r="E232" s="42"/>
    </row>
    <row r="233" ht="15.75" customHeight="1">
      <c r="D233" s="42"/>
      <c r="E233" s="42"/>
    </row>
    <row r="234" ht="15.75" customHeight="1">
      <c r="D234" s="42"/>
      <c r="E234" s="42"/>
    </row>
    <row r="235" ht="15.75" customHeight="1">
      <c r="D235" s="42"/>
      <c r="E235" s="42"/>
    </row>
    <row r="236" ht="15.75" customHeight="1">
      <c r="D236" s="42"/>
      <c r="E236" s="42"/>
    </row>
    <row r="237" ht="15.75" customHeight="1">
      <c r="D237" s="42"/>
      <c r="E237" s="42"/>
    </row>
    <row r="238" ht="15.75" customHeight="1">
      <c r="D238" s="42"/>
      <c r="E238" s="42"/>
    </row>
    <row r="239" ht="15.75" customHeight="1">
      <c r="D239" s="42"/>
      <c r="E239" s="42"/>
    </row>
    <row r="240" ht="15.75" customHeight="1">
      <c r="D240" s="42"/>
      <c r="E240" s="42"/>
    </row>
    <row r="241" ht="15.75" customHeight="1">
      <c r="D241" s="42"/>
      <c r="E241" s="42"/>
    </row>
    <row r="242" ht="15.75" customHeight="1">
      <c r="D242" s="42"/>
      <c r="E242" s="42"/>
    </row>
    <row r="243" ht="15.75" customHeight="1">
      <c r="D243" s="42"/>
      <c r="E243" s="42"/>
    </row>
    <row r="244" ht="15.75" customHeight="1">
      <c r="D244" s="42"/>
      <c r="E244" s="42"/>
    </row>
    <row r="245" ht="15.75" customHeight="1">
      <c r="D245" s="42"/>
      <c r="E245" s="42"/>
    </row>
    <row r="246" ht="15.75" customHeight="1">
      <c r="D246" s="42"/>
      <c r="E246" s="42"/>
    </row>
    <row r="247" ht="15.75" customHeight="1">
      <c r="D247" s="42"/>
      <c r="E247" s="42"/>
    </row>
    <row r="248" ht="15.75" customHeight="1">
      <c r="D248" s="42"/>
      <c r="E248" s="42"/>
    </row>
    <row r="249" ht="15.75" customHeight="1">
      <c r="D249" s="42"/>
      <c r="E249" s="42"/>
    </row>
    <row r="250" ht="15.75" customHeight="1">
      <c r="D250" s="42"/>
      <c r="E250" s="42"/>
    </row>
    <row r="251" ht="15.75" customHeight="1">
      <c r="D251" s="42"/>
      <c r="E251" s="42"/>
    </row>
    <row r="252" ht="15.75" customHeight="1">
      <c r="D252" s="42"/>
      <c r="E252" s="42"/>
    </row>
    <row r="253" ht="15.75" customHeight="1">
      <c r="D253" s="42"/>
      <c r="E253" s="42"/>
    </row>
    <row r="254" ht="15.75" customHeight="1">
      <c r="D254" s="42"/>
      <c r="E254" s="42"/>
    </row>
    <row r="255" ht="15.75" customHeight="1">
      <c r="D255" s="42"/>
      <c r="E255" s="42"/>
    </row>
    <row r="256" ht="15.75" customHeight="1">
      <c r="D256" s="42"/>
      <c r="E256" s="42"/>
    </row>
    <row r="257" ht="15.75" customHeight="1">
      <c r="D257" s="42"/>
      <c r="E257" s="42"/>
    </row>
    <row r="258" ht="15.75" customHeight="1">
      <c r="D258" s="42"/>
      <c r="E258" s="42"/>
    </row>
    <row r="259" ht="15.75" customHeight="1">
      <c r="D259" s="42"/>
      <c r="E259" s="42"/>
    </row>
    <row r="260" ht="15.75" customHeight="1">
      <c r="D260" s="42"/>
      <c r="E260" s="42"/>
    </row>
    <row r="261" ht="15.75" customHeight="1">
      <c r="D261" s="42"/>
      <c r="E261" s="42"/>
    </row>
    <row r="262" ht="15.75" customHeight="1">
      <c r="D262" s="42"/>
      <c r="E262" s="42"/>
    </row>
    <row r="263" ht="15.75" customHeight="1">
      <c r="D263" s="42"/>
      <c r="E263" s="42"/>
    </row>
    <row r="264" ht="15.75" customHeight="1">
      <c r="D264" s="42"/>
      <c r="E264" s="42"/>
    </row>
    <row r="265" ht="15.75" customHeight="1">
      <c r="D265" s="42"/>
      <c r="E265" s="42"/>
    </row>
    <row r="266" ht="15.75" customHeight="1">
      <c r="D266" s="42"/>
      <c r="E266" s="42"/>
    </row>
    <row r="267" ht="15.75" customHeight="1">
      <c r="D267" s="42"/>
      <c r="E267" s="42"/>
    </row>
    <row r="268" ht="15.75" customHeight="1">
      <c r="D268" s="42"/>
      <c r="E268" s="42"/>
    </row>
    <row r="269" ht="15.75" customHeight="1">
      <c r="D269" s="42"/>
      <c r="E269" s="42"/>
    </row>
    <row r="270" ht="15.75" customHeight="1">
      <c r="D270" s="42"/>
      <c r="E270" s="42"/>
    </row>
    <row r="271" ht="15.75" customHeight="1">
      <c r="D271" s="42"/>
      <c r="E271" s="42"/>
    </row>
    <row r="272" ht="15.75" customHeight="1">
      <c r="D272" s="42"/>
      <c r="E272" s="42"/>
    </row>
    <row r="273" ht="15.75" customHeight="1">
      <c r="D273" s="42"/>
      <c r="E273" s="42"/>
    </row>
    <row r="274" ht="15.75" customHeight="1">
      <c r="D274" s="42"/>
      <c r="E274" s="42"/>
    </row>
    <row r="275" ht="15.75" customHeight="1">
      <c r="D275" s="42"/>
      <c r="E275" s="42"/>
    </row>
    <row r="276" ht="15.75" customHeight="1">
      <c r="D276" s="42"/>
      <c r="E276" s="42"/>
    </row>
    <row r="277" ht="15.75" customHeight="1">
      <c r="D277" s="42"/>
      <c r="E277" s="42"/>
    </row>
    <row r="278" ht="15.75" customHeight="1">
      <c r="D278" s="42"/>
      <c r="E278" s="42"/>
    </row>
    <row r="279" ht="15.75" customHeight="1">
      <c r="D279" s="42"/>
      <c r="E279" s="42"/>
    </row>
    <row r="280" ht="15.75" customHeight="1">
      <c r="D280" s="42"/>
      <c r="E280" s="42"/>
    </row>
    <row r="281" ht="15.75" customHeight="1">
      <c r="D281" s="42"/>
      <c r="E281" s="42"/>
    </row>
    <row r="282" ht="15.75" customHeight="1">
      <c r="D282" s="42"/>
      <c r="E282" s="42"/>
    </row>
    <row r="283" ht="15.75" customHeight="1">
      <c r="D283" s="42"/>
      <c r="E283" s="42"/>
    </row>
    <row r="284" ht="15.75" customHeight="1">
      <c r="D284" s="42"/>
      <c r="E284" s="42"/>
    </row>
    <row r="285" ht="15.75" customHeight="1">
      <c r="D285" s="42"/>
      <c r="E285" s="42"/>
    </row>
    <row r="286" ht="15.75" customHeight="1">
      <c r="D286" s="42"/>
      <c r="E286" s="42"/>
    </row>
    <row r="287" ht="15.75" customHeight="1">
      <c r="D287" s="42"/>
      <c r="E287" s="42"/>
    </row>
    <row r="288" ht="15.75" customHeight="1">
      <c r="D288" s="42"/>
      <c r="E288" s="42"/>
    </row>
    <row r="289" ht="15.75" customHeight="1">
      <c r="D289" s="42"/>
      <c r="E289" s="42"/>
    </row>
    <row r="290" ht="15.75" customHeight="1">
      <c r="D290" s="42"/>
      <c r="E290" s="42"/>
    </row>
    <row r="291" ht="15.75" customHeight="1">
      <c r="D291" s="42"/>
      <c r="E291" s="42"/>
    </row>
    <row r="292" ht="15.75" customHeight="1">
      <c r="D292" s="42"/>
      <c r="E292" s="42"/>
    </row>
    <row r="293" ht="15.75" customHeight="1">
      <c r="D293" s="42"/>
      <c r="E293" s="42"/>
    </row>
    <row r="294" ht="15.75" customHeight="1">
      <c r="D294" s="42"/>
      <c r="E294" s="42"/>
    </row>
    <row r="295" ht="15.75" customHeight="1">
      <c r="D295" s="42"/>
      <c r="E295" s="42"/>
    </row>
    <row r="296" ht="15.75" customHeight="1">
      <c r="D296" s="42"/>
      <c r="E296" s="42"/>
    </row>
    <row r="297" ht="15.75" customHeight="1">
      <c r="D297" s="42"/>
      <c r="E297" s="42"/>
    </row>
    <row r="298" ht="15.75" customHeight="1">
      <c r="D298" s="42"/>
      <c r="E298" s="42"/>
    </row>
    <row r="299" ht="15.75" customHeight="1">
      <c r="D299" s="42"/>
      <c r="E299" s="42"/>
    </row>
    <row r="300" ht="15.75" customHeight="1">
      <c r="D300" s="42"/>
      <c r="E300" s="42"/>
    </row>
    <row r="301" ht="15.75" customHeight="1">
      <c r="D301" s="42"/>
      <c r="E301" s="42"/>
    </row>
    <row r="302" ht="15.75" customHeight="1">
      <c r="D302" s="42"/>
      <c r="E302" s="42"/>
    </row>
    <row r="303" ht="15.75" customHeight="1">
      <c r="D303" s="42"/>
      <c r="E303" s="42"/>
    </row>
    <row r="304" ht="15.75" customHeight="1">
      <c r="D304" s="42"/>
      <c r="E304" s="42"/>
    </row>
    <row r="305" ht="15.75" customHeight="1">
      <c r="D305" s="42"/>
      <c r="E305" s="42"/>
    </row>
    <row r="306" ht="15.75" customHeight="1">
      <c r="D306" s="42"/>
      <c r="E306" s="42"/>
    </row>
    <row r="307" ht="15.75" customHeight="1">
      <c r="D307" s="42"/>
      <c r="E307" s="42"/>
    </row>
    <row r="308" ht="15.75" customHeight="1">
      <c r="D308" s="42"/>
      <c r="E308" s="42"/>
    </row>
    <row r="309" ht="15.75" customHeight="1">
      <c r="D309" s="42"/>
      <c r="E309" s="42"/>
    </row>
    <row r="310" ht="15.75" customHeight="1">
      <c r="D310" s="42"/>
      <c r="E310" s="42"/>
    </row>
    <row r="311" ht="15.75" customHeight="1">
      <c r="D311" s="42"/>
      <c r="E311" s="42"/>
    </row>
    <row r="312" ht="15.75" customHeight="1">
      <c r="D312" s="42"/>
      <c r="E312" s="42"/>
    </row>
    <row r="313" ht="15.75" customHeight="1">
      <c r="D313" s="42"/>
      <c r="E313" s="42"/>
    </row>
    <row r="314" ht="15.75" customHeight="1">
      <c r="D314" s="42"/>
      <c r="E314" s="42"/>
    </row>
    <row r="315" ht="15.75" customHeight="1">
      <c r="D315" s="42"/>
      <c r="E315" s="42"/>
    </row>
    <row r="316" ht="15.75" customHeight="1">
      <c r="D316" s="42"/>
      <c r="E316" s="42"/>
    </row>
    <row r="317" ht="15.75" customHeight="1">
      <c r="D317" s="42"/>
      <c r="E317" s="42"/>
    </row>
    <row r="318" ht="15.75" customHeight="1">
      <c r="D318" s="42"/>
      <c r="E318" s="42"/>
    </row>
    <row r="319" ht="15.75" customHeight="1">
      <c r="D319" s="42"/>
      <c r="E319" s="42"/>
    </row>
    <row r="320" ht="15.75" customHeight="1">
      <c r="D320" s="42"/>
      <c r="E320" s="42"/>
    </row>
    <row r="321" ht="15.75" customHeight="1">
      <c r="D321" s="42"/>
      <c r="E321" s="42"/>
    </row>
    <row r="322" ht="15.75" customHeight="1">
      <c r="D322" s="42"/>
      <c r="E322" s="42"/>
    </row>
    <row r="323" ht="15.75" customHeight="1">
      <c r="D323" s="42"/>
      <c r="E323" s="42"/>
    </row>
    <row r="324" ht="15.75" customHeight="1">
      <c r="D324" s="42"/>
      <c r="E324" s="42"/>
    </row>
    <row r="325" ht="15.75" customHeight="1">
      <c r="D325" s="42"/>
      <c r="E325" s="42"/>
    </row>
    <row r="326" ht="15.75" customHeight="1">
      <c r="D326" s="42"/>
      <c r="E326" s="42"/>
    </row>
    <row r="327" ht="15.75" customHeight="1">
      <c r="D327" s="42"/>
      <c r="E327" s="42"/>
    </row>
    <row r="328" ht="15.75" customHeight="1">
      <c r="D328" s="42"/>
      <c r="E328" s="42"/>
    </row>
    <row r="329" ht="15.75" customHeight="1">
      <c r="D329" s="42"/>
      <c r="E329" s="42"/>
    </row>
    <row r="330" ht="15.75" customHeight="1">
      <c r="D330" s="42"/>
      <c r="E330" s="42"/>
    </row>
    <row r="331" ht="15.75" customHeight="1">
      <c r="D331" s="42"/>
      <c r="E331" s="42"/>
    </row>
    <row r="332" ht="15.75" customHeight="1">
      <c r="D332" s="42"/>
      <c r="E332" s="42"/>
    </row>
    <row r="333" ht="15.75" customHeight="1">
      <c r="D333" s="42"/>
      <c r="E333" s="42"/>
    </row>
    <row r="334" ht="15.75" customHeight="1">
      <c r="D334" s="42"/>
      <c r="E334" s="42"/>
    </row>
    <row r="335" ht="15.75" customHeight="1">
      <c r="D335" s="42"/>
      <c r="E335" s="42"/>
    </row>
    <row r="336" ht="15.75" customHeight="1">
      <c r="D336" s="42"/>
      <c r="E336" s="42"/>
    </row>
    <row r="337" ht="15.75" customHeight="1">
      <c r="D337" s="42"/>
      <c r="E337" s="42"/>
    </row>
    <row r="338" ht="15.75" customHeight="1">
      <c r="D338" s="42"/>
      <c r="E338" s="42"/>
    </row>
    <row r="339" ht="15.75" customHeight="1">
      <c r="D339" s="42"/>
      <c r="E339" s="42"/>
    </row>
    <row r="340" ht="15.75" customHeight="1">
      <c r="D340" s="42"/>
      <c r="E340" s="42"/>
    </row>
    <row r="341" ht="15.75" customHeight="1">
      <c r="D341" s="42"/>
      <c r="E341" s="42"/>
    </row>
    <row r="342" ht="15.75" customHeight="1">
      <c r="D342" s="42"/>
      <c r="E342" s="42"/>
    </row>
    <row r="343" ht="15.75" customHeight="1">
      <c r="D343" s="42"/>
      <c r="E343" s="42"/>
    </row>
    <row r="344" ht="15.75" customHeight="1">
      <c r="D344" s="42"/>
      <c r="E344" s="42"/>
    </row>
    <row r="345" ht="15.75" customHeight="1">
      <c r="D345" s="42"/>
      <c r="E345" s="42"/>
    </row>
    <row r="346" ht="15.75" customHeight="1">
      <c r="D346" s="42"/>
      <c r="E346" s="42"/>
    </row>
    <row r="347" ht="15.75" customHeight="1">
      <c r="D347" s="42"/>
      <c r="E347" s="42"/>
    </row>
    <row r="348" ht="15.75" customHeight="1">
      <c r="D348" s="42"/>
      <c r="E348" s="42"/>
    </row>
    <row r="349" ht="15.75" customHeight="1">
      <c r="D349" s="42"/>
      <c r="E349" s="42"/>
    </row>
    <row r="350" ht="15.75" customHeight="1">
      <c r="D350" s="42"/>
      <c r="E350" s="42"/>
    </row>
    <row r="351" ht="15.75" customHeight="1">
      <c r="D351" s="42"/>
      <c r="E351" s="42"/>
    </row>
    <row r="352" ht="15.75" customHeight="1">
      <c r="D352" s="42"/>
      <c r="E352" s="42"/>
    </row>
    <row r="353" ht="15.75" customHeight="1">
      <c r="D353" s="42"/>
      <c r="E353" s="42"/>
    </row>
    <row r="354" ht="15.75" customHeight="1">
      <c r="D354" s="42"/>
      <c r="E354" s="42"/>
    </row>
    <row r="355" ht="15.75" customHeight="1">
      <c r="D355" s="42"/>
      <c r="E355" s="42"/>
    </row>
    <row r="356" ht="15.75" customHeight="1">
      <c r="D356" s="42"/>
      <c r="E356" s="42"/>
    </row>
    <row r="357" ht="15.75" customHeight="1">
      <c r="D357" s="42"/>
      <c r="E357" s="42"/>
    </row>
    <row r="358" ht="15.75" customHeight="1">
      <c r="D358" s="42"/>
      <c r="E358" s="42"/>
    </row>
    <row r="359" ht="15.75" customHeight="1">
      <c r="D359" s="42"/>
      <c r="E359" s="42"/>
    </row>
    <row r="360" ht="15.75" customHeight="1">
      <c r="D360" s="42"/>
      <c r="E360" s="42"/>
    </row>
    <row r="361" ht="15.75" customHeight="1">
      <c r="D361" s="42"/>
      <c r="E361" s="42"/>
    </row>
    <row r="362" ht="15.75" customHeight="1">
      <c r="D362" s="42"/>
      <c r="E362" s="42"/>
    </row>
    <row r="363" ht="15.75" customHeight="1">
      <c r="D363" s="42"/>
      <c r="E363" s="42"/>
    </row>
    <row r="364" ht="15.75" customHeight="1">
      <c r="D364" s="42"/>
      <c r="E364" s="42"/>
    </row>
    <row r="365" ht="15.75" customHeight="1">
      <c r="D365" s="42"/>
      <c r="E365" s="42"/>
    </row>
    <row r="366" ht="15.75" customHeight="1">
      <c r="D366" s="42"/>
      <c r="E366" s="42"/>
    </row>
    <row r="367" ht="15.75" customHeight="1">
      <c r="D367" s="42"/>
      <c r="E367" s="42"/>
    </row>
    <row r="368" ht="15.75" customHeight="1">
      <c r="D368" s="42"/>
      <c r="E368" s="42"/>
    </row>
    <row r="369" ht="15.75" customHeight="1">
      <c r="D369" s="42"/>
      <c r="E369" s="42"/>
    </row>
    <row r="370" ht="15.75" customHeight="1">
      <c r="D370" s="42"/>
      <c r="E370" s="42"/>
    </row>
    <row r="371" ht="15.75" customHeight="1">
      <c r="D371" s="42"/>
      <c r="E371" s="42"/>
    </row>
    <row r="372" ht="15.75" customHeight="1">
      <c r="D372" s="42"/>
      <c r="E372" s="42"/>
    </row>
    <row r="373" ht="15.75" customHeight="1">
      <c r="D373" s="42"/>
      <c r="E373" s="42"/>
    </row>
    <row r="374" ht="15.75" customHeight="1">
      <c r="D374" s="42"/>
      <c r="E374" s="42"/>
    </row>
    <row r="375" ht="15.75" customHeight="1">
      <c r="D375" s="42"/>
      <c r="E375" s="42"/>
    </row>
    <row r="376" ht="15.75" customHeight="1">
      <c r="D376" s="42"/>
      <c r="E376" s="42"/>
    </row>
    <row r="377" ht="15.75" customHeight="1">
      <c r="D377" s="42"/>
      <c r="E377" s="42"/>
    </row>
    <row r="378" ht="15.75" customHeight="1">
      <c r="D378" s="42"/>
      <c r="E378" s="42"/>
    </row>
    <row r="379" ht="15.75" customHeight="1">
      <c r="D379" s="42"/>
      <c r="E379" s="42"/>
    </row>
    <row r="380" ht="15.75" customHeight="1">
      <c r="D380" s="42"/>
      <c r="E380" s="42"/>
    </row>
    <row r="381" ht="15.75" customHeight="1">
      <c r="D381" s="42"/>
      <c r="E381" s="42"/>
    </row>
    <row r="382" ht="15.75" customHeight="1">
      <c r="D382" s="42"/>
      <c r="E382" s="42"/>
    </row>
    <row r="383" ht="15.75" customHeight="1">
      <c r="D383" s="42"/>
      <c r="E383" s="42"/>
    </row>
    <row r="384" ht="15.75" customHeight="1">
      <c r="D384" s="42"/>
      <c r="E384" s="42"/>
    </row>
    <row r="385" ht="15.75" customHeight="1">
      <c r="D385" s="42"/>
      <c r="E385" s="42"/>
    </row>
    <row r="386" ht="15.75" customHeight="1">
      <c r="D386" s="42"/>
      <c r="E386" s="42"/>
    </row>
    <row r="387" ht="15.75" customHeight="1">
      <c r="D387" s="42"/>
      <c r="E387" s="42"/>
    </row>
    <row r="388" ht="15.75" customHeight="1">
      <c r="D388" s="42"/>
      <c r="E388" s="42"/>
    </row>
    <row r="389" ht="15.75" customHeight="1">
      <c r="D389" s="42"/>
      <c r="E389" s="42"/>
    </row>
    <row r="390" ht="15.75" customHeight="1">
      <c r="D390" s="42"/>
      <c r="E390" s="42"/>
    </row>
    <row r="391" ht="15.75" customHeight="1">
      <c r="D391" s="42"/>
      <c r="E391" s="42"/>
    </row>
    <row r="392" ht="15.75" customHeight="1">
      <c r="D392" s="42"/>
      <c r="E392" s="42"/>
    </row>
    <row r="393" ht="15.75" customHeight="1">
      <c r="D393" s="42"/>
      <c r="E393" s="42"/>
    </row>
    <row r="394" ht="15.75" customHeight="1">
      <c r="D394" s="42"/>
      <c r="E394" s="42"/>
    </row>
    <row r="395" ht="15.75" customHeight="1">
      <c r="D395" s="42"/>
      <c r="E395" s="42"/>
    </row>
    <row r="396" ht="15.75" customHeight="1">
      <c r="D396" s="42"/>
      <c r="E396" s="42"/>
    </row>
    <row r="397" ht="15.75" customHeight="1">
      <c r="D397" s="42"/>
      <c r="E397" s="42"/>
    </row>
    <row r="398" ht="15.75" customHeight="1">
      <c r="D398" s="42"/>
      <c r="E398" s="42"/>
    </row>
    <row r="399" ht="15.75" customHeight="1">
      <c r="D399" s="42"/>
      <c r="E399" s="42"/>
    </row>
    <row r="400" ht="15.75" customHeight="1">
      <c r="D400" s="42"/>
      <c r="E400" s="42"/>
    </row>
    <row r="401" ht="15.75" customHeight="1">
      <c r="D401" s="42"/>
      <c r="E401" s="42"/>
    </row>
    <row r="402" ht="15.75" customHeight="1">
      <c r="D402" s="42"/>
      <c r="E402" s="42"/>
    </row>
    <row r="403" ht="15.75" customHeight="1">
      <c r="D403" s="42"/>
      <c r="E403" s="42"/>
    </row>
    <row r="404" ht="15.75" customHeight="1">
      <c r="D404" s="42"/>
      <c r="E404" s="42"/>
    </row>
    <row r="405" ht="15.75" customHeight="1">
      <c r="D405" s="42"/>
      <c r="E405" s="42"/>
    </row>
    <row r="406" ht="15.75" customHeight="1">
      <c r="D406" s="42"/>
      <c r="E406" s="42"/>
    </row>
    <row r="407" ht="15.75" customHeight="1">
      <c r="D407" s="42"/>
      <c r="E407" s="42"/>
    </row>
    <row r="408" ht="15.75" customHeight="1">
      <c r="D408" s="42"/>
      <c r="E408" s="42"/>
    </row>
    <row r="409" ht="15.75" customHeight="1">
      <c r="D409" s="42"/>
      <c r="E409" s="42"/>
    </row>
    <row r="410" ht="15.75" customHeight="1">
      <c r="D410" s="42"/>
      <c r="E410" s="42"/>
    </row>
    <row r="411" ht="15.75" customHeight="1">
      <c r="D411" s="42"/>
      <c r="E411" s="42"/>
    </row>
    <row r="412" ht="15.75" customHeight="1">
      <c r="D412" s="42"/>
      <c r="E412" s="42"/>
    </row>
    <row r="413" ht="15.75" customHeight="1">
      <c r="D413" s="42"/>
      <c r="E413" s="42"/>
    </row>
    <row r="414" ht="15.75" customHeight="1">
      <c r="D414" s="42"/>
      <c r="E414" s="42"/>
    </row>
    <row r="415" ht="15.75" customHeight="1">
      <c r="D415" s="42"/>
      <c r="E415" s="42"/>
    </row>
    <row r="416" ht="15.75" customHeight="1">
      <c r="D416" s="42"/>
      <c r="E416" s="42"/>
    </row>
    <row r="417" ht="15.75" customHeight="1">
      <c r="D417" s="42"/>
      <c r="E417" s="42"/>
    </row>
    <row r="418" ht="15.75" customHeight="1">
      <c r="D418" s="42"/>
      <c r="E418" s="42"/>
    </row>
    <row r="419" ht="15.75" customHeight="1">
      <c r="D419" s="42"/>
      <c r="E419" s="42"/>
    </row>
    <row r="420" ht="15.75" customHeight="1">
      <c r="D420" s="42"/>
      <c r="E420" s="42"/>
    </row>
    <row r="421" ht="15.75" customHeight="1">
      <c r="D421" s="42"/>
      <c r="E421" s="42"/>
    </row>
    <row r="422" ht="15.75" customHeight="1">
      <c r="D422" s="42"/>
      <c r="E422" s="42"/>
    </row>
    <row r="423" ht="15.75" customHeight="1">
      <c r="D423" s="42"/>
      <c r="E423" s="42"/>
    </row>
    <row r="424" ht="15.75" customHeight="1">
      <c r="D424" s="42"/>
      <c r="E424" s="42"/>
    </row>
    <row r="425" ht="15.75" customHeight="1">
      <c r="D425" s="42"/>
      <c r="E425" s="42"/>
    </row>
    <row r="426" ht="15.75" customHeight="1">
      <c r="D426" s="42"/>
      <c r="E426" s="42"/>
    </row>
    <row r="427" ht="15.75" customHeight="1">
      <c r="D427" s="42"/>
      <c r="E427" s="42"/>
    </row>
    <row r="428" ht="15.75" customHeight="1">
      <c r="D428" s="42"/>
      <c r="E428" s="42"/>
    </row>
    <row r="429" ht="15.75" customHeight="1">
      <c r="D429" s="42"/>
      <c r="E429" s="42"/>
    </row>
    <row r="430" ht="15.75" customHeight="1">
      <c r="D430" s="42"/>
      <c r="E430" s="42"/>
    </row>
    <row r="431" ht="15.75" customHeight="1">
      <c r="D431" s="42"/>
      <c r="E431" s="42"/>
    </row>
    <row r="432" ht="15.75" customHeight="1">
      <c r="D432" s="42"/>
      <c r="E432" s="42"/>
    </row>
    <row r="433" ht="15.75" customHeight="1">
      <c r="D433" s="42"/>
      <c r="E433" s="42"/>
    </row>
    <row r="434" ht="15.75" customHeight="1">
      <c r="D434" s="42"/>
      <c r="E434" s="42"/>
    </row>
    <row r="435" ht="15.75" customHeight="1">
      <c r="D435" s="42"/>
      <c r="E435" s="42"/>
    </row>
    <row r="436" ht="15.75" customHeight="1">
      <c r="D436" s="42"/>
      <c r="E436" s="42"/>
    </row>
    <row r="437" ht="15.75" customHeight="1">
      <c r="D437" s="42"/>
      <c r="E437" s="42"/>
    </row>
    <row r="438" ht="15.75" customHeight="1">
      <c r="D438" s="42"/>
      <c r="E438" s="42"/>
    </row>
    <row r="439" ht="15.75" customHeight="1">
      <c r="D439" s="42"/>
      <c r="E439" s="42"/>
    </row>
    <row r="440" ht="15.75" customHeight="1">
      <c r="D440" s="42"/>
      <c r="E440" s="42"/>
    </row>
    <row r="441" ht="15.75" customHeight="1">
      <c r="D441" s="42"/>
      <c r="E441" s="42"/>
    </row>
    <row r="442" ht="15.75" customHeight="1">
      <c r="D442" s="42"/>
      <c r="E442" s="42"/>
    </row>
    <row r="443" ht="15.75" customHeight="1">
      <c r="D443" s="42"/>
      <c r="E443" s="42"/>
    </row>
    <row r="444" ht="15.75" customHeight="1">
      <c r="D444" s="42"/>
      <c r="E444" s="42"/>
    </row>
    <row r="445" ht="15.75" customHeight="1">
      <c r="D445" s="42"/>
      <c r="E445" s="42"/>
    </row>
    <row r="446" ht="15.75" customHeight="1">
      <c r="D446" s="42"/>
      <c r="E446" s="42"/>
    </row>
    <row r="447" ht="15.75" customHeight="1">
      <c r="D447" s="42"/>
      <c r="E447" s="42"/>
    </row>
    <row r="448" ht="15.75" customHeight="1">
      <c r="D448" s="42"/>
      <c r="E448" s="42"/>
    </row>
    <row r="449" ht="15.75" customHeight="1">
      <c r="D449" s="42"/>
      <c r="E449" s="42"/>
    </row>
    <row r="450" ht="15.75" customHeight="1">
      <c r="D450" s="42"/>
      <c r="E450" s="42"/>
    </row>
    <row r="451" ht="15.75" customHeight="1">
      <c r="D451" s="42"/>
      <c r="E451" s="42"/>
    </row>
    <row r="452" ht="15.75" customHeight="1">
      <c r="D452" s="42"/>
      <c r="E452" s="42"/>
    </row>
    <row r="453" ht="15.75" customHeight="1">
      <c r="D453" s="42"/>
      <c r="E453" s="42"/>
    </row>
    <row r="454" ht="15.75" customHeight="1">
      <c r="D454" s="42"/>
      <c r="E454" s="42"/>
    </row>
    <row r="455" ht="15.75" customHeight="1">
      <c r="D455" s="42"/>
      <c r="E455" s="42"/>
    </row>
    <row r="456" ht="15.75" customHeight="1">
      <c r="D456" s="42"/>
      <c r="E456" s="42"/>
    </row>
    <row r="457" ht="15.75" customHeight="1">
      <c r="D457" s="42"/>
      <c r="E457" s="42"/>
    </row>
    <row r="458" ht="15.75" customHeight="1">
      <c r="D458" s="42"/>
      <c r="E458" s="42"/>
    </row>
    <row r="459" ht="15.75" customHeight="1">
      <c r="D459" s="42"/>
      <c r="E459" s="42"/>
    </row>
    <row r="460" ht="15.75" customHeight="1">
      <c r="D460" s="42"/>
      <c r="E460" s="42"/>
    </row>
    <row r="461" ht="15.75" customHeight="1">
      <c r="D461" s="42"/>
      <c r="E461" s="42"/>
    </row>
    <row r="462" ht="15.75" customHeight="1">
      <c r="D462" s="42"/>
      <c r="E462" s="42"/>
    </row>
    <row r="463" ht="15.75" customHeight="1">
      <c r="D463" s="42"/>
      <c r="E463" s="42"/>
    </row>
    <row r="464" ht="15.75" customHeight="1">
      <c r="D464" s="42"/>
      <c r="E464" s="42"/>
    </row>
    <row r="465" ht="15.75" customHeight="1">
      <c r="D465" s="42"/>
      <c r="E465" s="42"/>
    </row>
    <row r="466" ht="15.75" customHeight="1">
      <c r="D466" s="42"/>
      <c r="E466" s="42"/>
    </row>
    <row r="467" ht="15.75" customHeight="1">
      <c r="D467" s="42"/>
      <c r="E467" s="42"/>
    </row>
    <row r="468" ht="15.75" customHeight="1">
      <c r="D468" s="42"/>
      <c r="E468" s="42"/>
    </row>
    <row r="469" ht="15.75" customHeight="1">
      <c r="D469" s="42"/>
      <c r="E469" s="42"/>
    </row>
    <row r="470" ht="15.75" customHeight="1">
      <c r="D470" s="42"/>
      <c r="E470" s="42"/>
    </row>
    <row r="471" ht="15.75" customHeight="1">
      <c r="D471" s="42"/>
      <c r="E471" s="42"/>
    </row>
    <row r="472" ht="15.75" customHeight="1">
      <c r="D472" s="42"/>
      <c r="E472" s="42"/>
    </row>
    <row r="473" ht="15.75" customHeight="1">
      <c r="D473" s="42"/>
      <c r="E473" s="42"/>
    </row>
    <row r="474" ht="15.75" customHeight="1">
      <c r="D474" s="42"/>
      <c r="E474" s="42"/>
    </row>
    <row r="475" ht="15.75" customHeight="1">
      <c r="D475" s="42"/>
      <c r="E475" s="42"/>
    </row>
    <row r="476" ht="15.75" customHeight="1">
      <c r="D476" s="42"/>
      <c r="E476" s="42"/>
    </row>
    <row r="477" ht="15.75" customHeight="1">
      <c r="D477" s="42"/>
      <c r="E477" s="42"/>
    </row>
    <row r="478" ht="15.75" customHeight="1">
      <c r="D478" s="42"/>
      <c r="E478" s="42"/>
    </row>
    <row r="479" ht="15.75" customHeight="1">
      <c r="D479" s="42"/>
      <c r="E479" s="42"/>
    </row>
    <row r="480" ht="15.75" customHeight="1">
      <c r="D480" s="42"/>
      <c r="E480" s="42"/>
    </row>
    <row r="481" ht="15.75" customHeight="1">
      <c r="D481" s="42"/>
      <c r="E481" s="42"/>
    </row>
    <row r="482" ht="15.75" customHeight="1">
      <c r="D482" s="42"/>
      <c r="E482" s="42"/>
    </row>
    <row r="483" ht="15.75" customHeight="1">
      <c r="D483" s="42"/>
      <c r="E483" s="42"/>
    </row>
    <row r="484" ht="15.75" customHeight="1">
      <c r="D484" s="42"/>
      <c r="E484" s="42"/>
    </row>
    <row r="485" ht="15.75" customHeight="1">
      <c r="D485" s="42"/>
      <c r="E485" s="42"/>
    </row>
    <row r="486" ht="15.75" customHeight="1">
      <c r="D486" s="42"/>
      <c r="E486" s="42"/>
    </row>
    <row r="487" ht="15.75" customHeight="1">
      <c r="D487" s="42"/>
      <c r="E487" s="42"/>
    </row>
    <row r="488" ht="15.75" customHeight="1">
      <c r="D488" s="42"/>
      <c r="E488" s="42"/>
    </row>
    <row r="489" ht="15.75" customHeight="1">
      <c r="D489" s="42"/>
      <c r="E489" s="42"/>
    </row>
    <row r="490" ht="15.75" customHeight="1">
      <c r="D490" s="42"/>
      <c r="E490" s="42"/>
    </row>
    <row r="491" ht="15.75" customHeight="1">
      <c r="D491" s="42"/>
      <c r="E491" s="42"/>
    </row>
    <row r="492" ht="15.75" customHeight="1">
      <c r="D492" s="42"/>
      <c r="E492" s="42"/>
    </row>
    <row r="493" ht="15.75" customHeight="1">
      <c r="D493" s="42"/>
      <c r="E493" s="42"/>
    </row>
    <row r="494" ht="15.75" customHeight="1">
      <c r="D494" s="42"/>
      <c r="E494" s="42"/>
    </row>
    <row r="495" ht="15.75" customHeight="1">
      <c r="D495" s="42"/>
      <c r="E495" s="42"/>
    </row>
    <row r="496" ht="15.75" customHeight="1">
      <c r="D496" s="42"/>
      <c r="E496" s="42"/>
    </row>
    <row r="497" ht="15.75" customHeight="1">
      <c r="D497" s="42"/>
      <c r="E497" s="42"/>
    </row>
    <row r="498" ht="15.75" customHeight="1">
      <c r="D498" s="42"/>
      <c r="E498" s="42"/>
    </row>
    <row r="499" ht="15.75" customHeight="1">
      <c r="D499" s="42"/>
      <c r="E499" s="42"/>
    </row>
    <row r="500" ht="15.75" customHeight="1">
      <c r="D500" s="42"/>
      <c r="E500" s="42"/>
    </row>
    <row r="501" ht="15.75" customHeight="1">
      <c r="D501" s="42"/>
      <c r="E501" s="42"/>
    </row>
    <row r="502" ht="15.75" customHeight="1">
      <c r="D502" s="42"/>
      <c r="E502" s="42"/>
    </row>
    <row r="503" ht="15.75" customHeight="1">
      <c r="D503" s="42"/>
      <c r="E503" s="42"/>
    </row>
    <row r="504" ht="15.75" customHeight="1">
      <c r="D504" s="42"/>
      <c r="E504" s="42"/>
    </row>
    <row r="505" ht="15.75" customHeight="1">
      <c r="D505" s="42"/>
      <c r="E505" s="42"/>
    </row>
    <row r="506" ht="15.75" customHeight="1">
      <c r="D506" s="42"/>
      <c r="E506" s="42"/>
    </row>
    <row r="507" ht="15.75" customHeight="1">
      <c r="D507" s="42"/>
      <c r="E507" s="42"/>
    </row>
    <row r="508" ht="15.75" customHeight="1">
      <c r="D508" s="42"/>
      <c r="E508" s="42"/>
    </row>
    <row r="509" ht="15.75" customHeight="1">
      <c r="D509" s="42"/>
      <c r="E509" s="42"/>
    </row>
    <row r="510" ht="15.75" customHeight="1">
      <c r="D510" s="42"/>
      <c r="E510" s="42"/>
    </row>
    <row r="511" ht="15.75" customHeight="1">
      <c r="D511" s="42"/>
      <c r="E511" s="42"/>
    </row>
    <row r="512" ht="15.75" customHeight="1">
      <c r="D512" s="42"/>
      <c r="E512" s="42"/>
    </row>
    <row r="513" ht="15.75" customHeight="1">
      <c r="D513" s="42"/>
      <c r="E513" s="42"/>
    </row>
    <row r="514" ht="15.75" customHeight="1">
      <c r="D514" s="42"/>
      <c r="E514" s="42"/>
    </row>
    <row r="515" ht="15.75" customHeight="1">
      <c r="D515" s="42"/>
      <c r="E515" s="42"/>
    </row>
    <row r="516" ht="15.75" customHeight="1">
      <c r="D516" s="42"/>
      <c r="E516" s="42"/>
    </row>
    <row r="517" ht="15.75" customHeight="1">
      <c r="D517" s="42"/>
      <c r="E517" s="42"/>
    </row>
    <row r="518" ht="15.75" customHeight="1">
      <c r="D518" s="42"/>
      <c r="E518" s="42"/>
    </row>
    <row r="519" ht="15.75" customHeight="1">
      <c r="D519" s="42"/>
      <c r="E519" s="42"/>
    </row>
    <row r="520" ht="15.75" customHeight="1">
      <c r="D520" s="42"/>
      <c r="E520" s="42"/>
    </row>
    <row r="521" ht="15.75" customHeight="1">
      <c r="D521" s="42"/>
      <c r="E521" s="42"/>
    </row>
    <row r="522" ht="15.75" customHeight="1">
      <c r="D522" s="42"/>
      <c r="E522" s="42"/>
    </row>
    <row r="523" ht="15.75" customHeight="1">
      <c r="D523" s="42"/>
      <c r="E523" s="42"/>
    </row>
    <row r="524" ht="15.75" customHeight="1">
      <c r="D524" s="42"/>
      <c r="E524" s="42"/>
    </row>
    <row r="525" ht="15.75" customHeight="1">
      <c r="D525" s="42"/>
      <c r="E525" s="42"/>
    </row>
    <row r="526" ht="15.75" customHeight="1">
      <c r="D526" s="42"/>
      <c r="E526" s="42"/>
    </row>
    <row r="527" ht="15.75" customHeight="1">
      <c r="D527" s="42"/>
      <c r="E527" s="42"/>
    </row>
    <row r="528" ht="15.75" customHeight="1">
      <c r="D528" s="42"/>
      <c r="E528" s="42"/>
    </row>
    <row r="529" ht="15.75" customHeight="1">
      <c r="D529" s="42"/>
      <c r="E529" s="42"/>
    </row>
    <row r="530" ht="15.75" customHeight="1">
      <c r="D530" s="42"/>
      <c r="E530" s="42"/>
    </row>
    <row r="531" ht="15.75" customHeight="1">
      <c r="D531" s="42"/>
      <c r="E531" s="42"/>
    </row>
    <row r="532" ht="15.75" customHeight="1">
      <c r="D532" s="42"/>
      <c r="E532" s="42"/>
    </row>
    <row r="533" ht="15.75" customHeight="1">
      <c r="D533" s="42"/>
      <c r="E533" s="42"/>
    </row>
    <row r="534" ht="15.75" customHeight="1">
      <c r="D534" s="42"/>
      <c r="E534" s="42"/>
    </row>
    <row r="535" ht="15.75" customHeight="1">
      <c r="D535" s="42"/>
      <c r="E535" s="42"/>
    </row>
    <row r="536" ht="15.75" customHeight="1">
      <c r="D536" s="42"/>
      <c r="E536" s="42"/>
    </row>
    <row r="537" ht="15.75" customHeight="1">
      <c r="D537" s="42"/>
      <c r="E537" s="42"/>
    </row>
    <row r="538" ht="15.75" customHeight="1">
      <c r="D538" s="42"/>
      <c r="E538" s="42"/>
    </row>
    <row r="539" ht="15.75" customHeight="1">
      <c r="D539" s="42"/>
      <c r="E539" s="42"/>
    </row>
    <row r="540" ht="15.75" customHeight="1">
      <c r="D540" s="42"/>
      <c r="E540" s="42"/>
    </row>
    <row r="541" ht="15.75" customHeight="1">
      <c r="D541" s="42"/>
      <c r="E541" s="42"/>
    </row>
    <row r="542" ht="15.75" customHeight="1">
      <c r="D542" s="42"/>
      <c r="E542" s="42"/>
    </row>
    <row r="543" ht="15.75" customHeight="1">
      <c r="D543" s="42"/>
      <c r="E543" s="42"/>
    </row>
    <row r="544" ht="15.75" customHeight="1">
      <c r="D544" s="42"/>
      <c r="E544" s="42"/>
    </row>
    <row r="545" ht="15.75" customHeight="1">
      <c r="D545" s="42"/>
      <c r="E545" s="42"/>
    </row>
    <row r="546" ht="15.75" customHeight="1">
      <c r="D546" s="42"/>
      <c r="E546" s="42"/>
    </row>
    <row r="547" ht="15.75" customHeight="1">
      <c r="D547" s="42"/>
      <c r="E547" s="42"/>
    </row>
    <row r="548" ht="15.75" customHeight="1">
      <c r="D548" s="42"/>
      <c r="E548" s="42"/>
    </row>
    <row r="549" ht="15.75" customHeight="1">
      <c r="D549" s="42"/>
      <c r="E549" s="42"/>
    </row>
    <row r="550" ht="15.75" customHeight="1">
      <c r="D550" s="42"/>
      <c r="E550" s="42"/>
    </row>
    <row r="551" ht="15.75" customHeight="1">
      <c r="D551" s="42"/>
      <c r="E551" s="42"/>
    </row>
    <row r="552" ht="15.75" customHeight="1">
      <c r="D552" s="42"/>
      <c r="E552" s="42"/>
    </row>
    <row r="553" ht="15.75" customHeight="1">
      <c r="D553" s="42"/>
      <c r="E553" s="42"/>
    </row>
    <row r="554" ht="15.75" customHeight="1">
      <c r="D554" s="42"/>
      <c r="E554" s="42"/>
    </row>
    <row r="555" ht="15.75" customHeight="1">
      <c r="D555" s="42"/>
      <c r="E555" s="42"/>
    </row>
    <row r="556" ht="15.75" customHeight="1">
      <c r="D556" s="42"/>
      <c r="E556" s="42"/>
    </row>
    <row r="557" ht="15.75" customHeight="1">
      <c r="D557" s="42"/>
      <c r="E557" s="42"/>
    </row>
    <row r="558" ht="15.75" customHeight="1">
      <c r="D558" s="42"/>
      <c r="E558" s="42"/>
    </row>
    <row r="559" ht="15.75" customHeight="1">
      <c r="D559" s="42"/>
      <c r="E559" s="42"/>
    </row>
    <row r="560" ht="15.75" customHeight="1">
      <c r="D560" s="42"/>
      <c r="E560" s="42"/>
    </row>
    <row r="561" ht="15.75" customHeight="1">
      <c r="D561" s="42"/>
      <c r="E561" s="42"/>
    </row>
    <row r="562" ht="15.75" customHeight="1">
      <c r="D562" s="42"/>
      <c r="E562" s="42"/>
    </row>
    <row r="563" ht="15.75" customHeight="1">
      <c r="D563" s="42"/>
      <c r="E563" s="42"/>
    </row>
    <row r="564" ht="15.75" customHeight="1">
      <c r="D564" s="42"/>
      <c r="E564" s="42"/>
    </row>
    <row r="565" ht="15.75" customHeight="1">
      <c r="D565" s="42"/>
      <c r="E565" s="42"/>
    </row>
    <row r="566" ht="15.75" customHeight="1">
      <c r="D566" s="42"/>
      <c r="E566" s="42"/>
    </row>
    <row r="567" ht="15.75" customHeight="1">
      <c r="D567" s="42"/>
      <c r="E567" s="42"/>
    </row>
    <row r="568" ht="15.75" customHeight="1">
      <c r="D568" s="42"/>
      <c r="E568" s="42"/>
    </row>
    <row r="569" ht="15.75" customHeight="1">
      <c r="D569" s="42"/>
      <c r="E569" s="42"/>
    </row>
    <row r="570" ht="15.75" customHeight="1">
      <c r="D570" s="42"/>
      <c r="E570" s="42"/>
    </row>
    <row r="571" ht="15.75" customHeight="1">
      <c r="D571" s="42"/>
      <c r="E571" s="42"/>
    </row>
    <row r="572" ht="15.75" customHeight="1">
      <c r="D572" s="42"/>
      <c r="E572" s="42"/>
    </row>
    <row r="573" ht="15.75" customHeight="1">
      <c r="D573" s="42"/>
      <c r="E573" s="42"/>
    </row>
    <row r="574" ht="15.75" customHeight="1">
      <c r="D574" s="42"/>
      <c r="E574" s="42"/>
    </row>
    <row r="575" ht="15.75" customHeight="1">
      <c r="D575" s="42"/>
      <c r="E575" s="42"/>
    </row>
    <row r="576" ht="15.75" customHeight="1">
      <c r="D576" s="42"/>
      <c r="E576" s="42"/>
    </row>
    <row r="577" ht="15.75" customHeight="1">
      <c r="D577" s="42"/>
      <c r="E577" s="42"/>
    </row>
    <row r="578" ht="15.75" customHeight="1">
      <c r="D578" s="42"/>
      <c r="E578" s="42"/>
    </row>
    <row r="579" ht="15.75" customHeight="1">
      <c r="D579" s="42"/>
      <c r="E579" s="42"/>
    </row>
    <row r="580" ht="15.75" customHeight="1">
      <c r="D580" s="42"/>
      <c r="E580" s="42"/>
    </row>
    <row r="581" ht="15.75" customHeight="1">
      <c r="D581" s="42"/>
      <c r="E581" s="42"/>
    </row>
    <row r="582" ht="15.75" customHeight="1">
      <c r="D582" s="42"/>
      <c r="E582" s="42"/>
    </row>
    <row r="583" ht="15.75" customHeight="1">
      <c r="D583" s="42"/>
      <c r="E583" s="42"/>
    </row>
    <row r="584" ht="15.75" customHeight="1">
      <c r="D584" s="42"/>
      <c r="E584" s="42"/>
    </row>
    <row r="585" ht="15.75" customHeight="1">
      <c r="D585" s="42"/>
      <c r="E585" s="42"/>
    </row>
    <row r="586" ht="15.75" customHeight="1">
      <c r="D586" s="42"/>
      <c r="E586" s="42"/>
    </row>
    <row r="587" ht="15.75" customHeight="1">
      <c r="D587" s="42"/>
      <c r="E587" s="42"/>
    </row>
    <row r="588" ht="15.75" customHeight="1">
      <c r="D588" s="42"/>
      <c r="E588" s="42"/>
    </row>
    <row r="589" ht="15.75" customHeight="1">
      <c r="D589" s="42"/>
      <c r="E589" s="42"/>
    </row>
    <row r="590" ht="15.75" customHeight="1">
      <c r="D590" s="42"/>
      <c r="E590" s="42"/>
    </row>
    <row r="591" ht="15.75" customHeight="1">
      <c r="D591" s="42"/>
      <c r="E591" s="42"/>
    </row>
    <row r="592" ht="15.75" customHeight="1">
      <c r="D592" s="42"/>
      <c r="E592" s="42"/>
    </row>
    <row r="593" ht="15.75" customHeight="1">
      <c r="D593" s="42"/>
      <c r="E593" s="42"/>
    </row>
    <row r="594" ht="15.75" customHeight="1">
      <c r="D594" s="42"/>
      <c r="E594" s="42"/>
    </row>
    <row r="595" ht="15.75" customHeight="1">
      <c r="D595" s="42"/>
      <c r="E595" s="42"/>
    </row>
    <row r="596" ht="15.75" customHeight="1">
      <c r="D596" s="42"/>
      <c r="E596" s="42"/>
    </row>
    <row r="597" ht="15.75" customHeight="1">
      <c r="D597" s="42"/>
      <c r="E597" s="42"/>
    </row>
    <row r="598" ht="15.75" customHeight="1">
      <c r="D598" s="42"/>
      <c r="E598" s="42"/>
    </row>
    <row r="599" ht="15.75" customHeight="1">
      <c r="D599" s="42"/>
      <c r="E599" s="42"/>
    </row>
    <row r="600" ht="15.75" customHeight="1">
      <c r="D600" s="42"/>
      <c r="E600" s="42"/>
    </row>
    <row r="601" ht="15.75" customHeight="1">
      <c r="D601" s="42"/>
      <c r="E601" s="42"/>
    </row>
    <row r="602" ht="15.75" customHeight="1">
      <c r="D602" s="42"/>
      <c r="E602" s="42"/>
    </row>
    <row r="603" ht="15.75" customHeight="1">
      <c r="D603" s="42"/>
      <c r="E603" s="42"/>
    </row>
    <row r="604" ht="15.75" customHeight="1">
      <c r="D604" s="42"/>
      <c r="E604" s="42"/>
    </row>
    <row r="605" ht="15.75" customHeight="1">
      <c r="D605" s="42"/>
      <c r="E605" s="42"/>
    </row>
    <row r="606" ht="15.75" customHeight="1">
      <c r="D606" s="42"/>
      <c r="E606" s="42"/>
    </row>
    <row r="607" ht="15.75" customHeight="1">
      <c r="D607" s="42"/>
      <c r="E607" s="42"/>
    </row>
    <row r="608" ht="15.75" customHeight="1">
      <c r="D608" s="42"/>
      <c r="E608" s="42"/>
    </row>
    <row r="609" ht="15.75" customHeight="1">
      <c r="D609" s="42"/>
      <c r="E609" s="42"/>
    </row>
    <row r="610" ht="15.75" customHeight="1">
      <c r="D610" s="42"/>
      <c r="E610" s="42"/>
    </row>
    <row r="611" ht="15.75" customHeight="1">
      <c r="D611" s="42"/>
      <c r="E611" s="42"/>
    </row>
    <row r="612" ht="15.75" customHeight="1">
      <c r="D612" s="42"/>
      <c r="E612" s="42"/>
    </row>
    <row r="613" ht="15.75" customHeight="1">
      <c r="D613" s="42"/>
      <c r="E613" s="42"/>
    </row>
    <row r="614" ht="15.75" customHeight="1">
      <c r="D614" s="42"/>
      <c r="E614" s="42"/>
    </row>
    <row r="615" ht="15.75" customHeight="1">
      <c r="D615" s="42"/>
      <c r="E615" s="42"/>
    </row>
    <row r="616" ht="15.75" customHeight="1">
      <c r="D616" s="42"/>
      <c r="E616" s="42"/>
    </row>
    <row r="617" ht="15.75" customHeight="1">
      <c r="D617" s="42"/>
      <c r="E617" s="42"/>
    </row>
    <row r="618" ht="15.75" customHeight="1">
      <c r="D618" s="42"/>
      <c r="E618" s="42"/>
    </row>
    <row r="619" ht="15.75" customHeight="1">
      <c r="D619" s="42"/>
      <c r="E619" s="42"/>
    </row>
    <row r="620" ht="15.75" customHeight="1">
      <c r="D620" s="42"/>
      <c r="E620" s="42"/>
    </row>
    <row r="621" ht="15.75" customHeight="1">
      <c r="D621" s="42"/>
      <c r="E621" s="42"/>
    </row>
    <row r="622" ht="15.75" customHeight="1">
      <c r="D622" s="42"/>
      <c r="E622" s="42"/>
    </row>
    <row r="623" ht="15.75" customHeight="1">
      <c r="D623" s="42"/>
      <c r="E623" s="42"/>
    </row>
    <row r="624" ht="15.75" customHeight="1">
      <c r="D624" s="42"/>
      <c r="E624" s="42"/>
    </row>
    <row r="625" ht="15.75" customHeight="1">
      <c r="D625" s="42"/>
      <c r="E625" s="42"/>
    </row>
    <row r="626" ht="15.75" customHeight="1">
      <c r="D626" s="42"/>
      <c r="E626" s="42"/>
    </row>
    <row r="627" ht="15.75" customHeight="1">
      <c r="D627" s="42"/>
      <c r="E627" s="42"/>
    </row>
    <row r="628" ht="15.75" customHeight="1">
      <c r="D628" s="42"/>
      <c r="E628" s="42"/>
    </row>
    <row r="629" ht="15.75" customHeight="1">
      <c r="D629" s="42"/>
      <c r="E629" s="42"/>
    </row>
    <row r="630" ht="15.75" customHeight="1">
      <c r="D630" s="42"/>
      <c r="E630" s="42"/>
    </row>
    <row r="631" ht="15.75" customHeight="1">
      <c r="D631" s="42"/>
      <c r="E631" s="42"/>
    </row>
    <row r="632" ht="15.75" customHeight="1">
      <c r="D632" s="42"/>
      <c r="E632" s="42"/>
    </row>
    <row r="633" ht="15.75" customHeight="1">
      <c r="D633" s="42"/>
      <c r="E633" s="42"/>
    </row>
    <row r="634" ht="15.75" customHeight="1">
      <c r="D634" s="42"/>
      <c r="E634" s="42"/>
    </row>
    <row r="635" ht="15.75" customHeight="1">
      <c r="D635" s="42"/>
      <c r="E635" s="42"/>
    </row>
    <row r="636" ht="15.75" customHeight="1">
      <c r="D636" s="42"/>
      <c r="E636" s="42"/>
    </row>
    <row r="637" ht="15.75" customHeight="1">
      <c r="D637" s="42"/>
      <c r="E637" s="42"/>
    </row>
    <row r="638" ht="15.75" customHeight="1">
      <c r="D638" s="42"/>
      <c r="E638" s="42"/>
    </row>
    <row r="639" ht="15.75" customHeight="1">
      <c r="D639" s="42"/>
      <c r="E639" s="42"/>
    </row>
    <row r="640" ht="15.75" customHeight="1">
      <c r="D640" s="42"/>
      <c r="E640" s="42"/>
    </row>
    <row r="641" ht="15.75" customHeight="1">
      <c r="D641" s="42"/>
      <c r="E641" s="42"/>
    </row>
    <row r="642" ht="15.75" customHeight="1">
      <c r="D642" s="42"/>
      <c r="E642" s="42"/>
    </row>
    <row r="643" ht="15.75" customHeight="1">
      <c r="D643" s="42"/>
      <c r="E643" s="42"/>
    </row>
    <row r="644" ht="15.75" customHeight="1">
      <c r="D644" s="42"/>
      <c r="E644" s="42"/>
    </row>
    <row r="645" ht="15.75" customHeight="1">
      <c r="D645" s="42"/>
      <c r="E645" s="42"/>
    </row>
    <row r="646" ht="15.75" customHeight="1">
      <c r="D646" s="42"/>
      <c r="E646" s="42"/>
    </row>
    <row r="647" ht="15.75" customHeight="1">
      <c r="D647" s="42"/>
      <c r="E647" s="42"/>
    </row>
    <row r="648" ht="15.75" customHeight="1">
      <c r="D648" s="42"/>
      <c r="E648" s="42"/>
    </row>
    <row r="649" ht="15.75" customHeight="1">
      <c r="D649" s="42"/>
      <c r="E649" s="42"/>
    </row>
    <row r="650" ht="15.75" customHeight="1">
      <c r="D650" s="42"/>
      <c r="E650" s="42"/>
    </row>
    <row r="651" ht="15.75" customHeight="1">
      <c r="D651" s="42"/>
      <c r="E651" s="42"/>
    </row>
    <row r="652" ht="15.75" customHeight="1">
      <c r="D652" s="42"/>
      <c r="E652" s="42"/>
    </row>
    <row r="653" ht="15.75" customHeight="1">
      <c r="D653" s="42"/>
      <c r="E653" s="42"/>
    </row>
    <row r="654" ht="15.75" customHeight="1">
      <c r="D654" s="42"/>
      <c r="E654" s="42"/>
    </row>
    <row r="655" ht="15.75" customHeight="1">
      <c r="D655" s="42"/>
      <c r="E655" s="42"/>
    </row>
    <row r="656" ht="15.75" customHeight="1">
      <c r="D656" s="42"/>
      <c r="E656" s="42"/>
    </row>
    <row r="657" ht="15.75" customHeight="1">
      <c r="D657" s="42"/>
      <c r="E657" s="42"/>
    </row>
    <row r="658" ht="15.75" customHeight="1">
      <c r="D658" s="42"/>
      <c r="E658" s="42"/>
    </row>
    <row r="659" ht="15.75" customHeight="1">
      <c r="D659" s="42"/>
      <c r="E659" s="42"/>
    </row>
    <row r="660" ht="15.75" customHeight="1">
      <c r="D660" s="42"/>
      <c r="E660" s="42"/>
    </row>
    <row r="661" ht="15.75" customHeight="1">
      <c r="D661" s="42"/>
      <c r="E661" s="42"/>
    </row>
    <row r="662" ht="15.75" customHeight="1">
      <c r="D662" s="42"/>
      <c r="E662" s="42"/>
    </row>
    <row r="663" ht="15.75" customHeight="1">
      <c r="D663" s="42"/>
      <c r="E663" s="42"/>
    </row>
    <row r="664" ht="15.75" customHeight="1">
      <c r="D664" s="42"/>
      <c r="E664" s="42"/>
    </row>
    <row r="665" ht="15.75" customHeight="1">
      <c r="D665" s="42"/>
      <c r="E665" s="42"/>
    </row>
    <row r="666" ht="15.75" customHeight="1">
      <c r="D666" s="42"/>
      <c r="E666" s="42"/>
    </row>
    <row r="667" ht="15.75" customHeight="1">
      <c r="D667" s="42"/>
      <c r="E667" s="42"/>
    </row>
    <row r="668" ht="15.75" customHeight="1">
      <c r="D668" s="42"/>
      <c r="E668" s="42"/>
    </row>
    <row r="669" ht="15.75" customHeight="1">
      <c r="D669" s="42"/>
      <c r="E669" s="42"/>
    </row>
    <row r="670" ht="15.75" customHeight="1">
      <c r="D670" s="42"/>
      <c r="E670" s="42"/>
    </row>
    <row r="671" ht="15.75" customHeight="1">
      <c r="D671" s="42"/>
      <c r="E671" s="42"/>
    </row>
    <row r="672" ht="15.75" customHeight="1">
      <c r="D672" s="42"/>
      <c r="E672" s="42"/>
    </row>
    <row r="673" ht="15.75" customHeight="1">
      <c r="D673" s="42"/>
      <c r="E673" s="42"/>
    </row>
    <row r="674" ht="15.75" customHeight="1">
      <c r="D674" s="42"/>
      <c r="E674" s="42"/>
    </row>
    <row r="675" ht="15.75" customHeight="1">
      <c r="D675" s="42"/>
      <c r="E675" s="42"/>
    </row>
    <row r="676" ht="15.75" customHeight="1">
      <c r="D676" s="42"/>
      <c r="E676" s="42"/>
    </row>
    <row r="677" ht="15.75" customHeight="1">
      <c r="D677" s="42"/>
      <c r="E677" s="42"/>
    </row>
    <row r="678" ht="15.75" customHeight="1">
      <c r="D678" s="42"/>
      <c r="E678" s="42"/>
    </row>
    <row r="679" ht="15.75" customHeight="1">
      <c r="D679" s="42"/>
      <c r="E679" s="42"/>
    </row>
    <row r="680" ht="15.75" customHeight="1">
      <c r="D680" s="42"/>
      <c r="E680" s="42"/>
    </row>
    <row r="681" ht="15.75" customHeight="1">
      <c r="D681" s="42"/>
      <c r="E681" s="42"/>
    </row>
    <row r="682" ht="15.75" customHeight="1">
      <c r="D682" s="42"/>
      <c r="E682" s="42"/>
    </row>
    <row r="683" ht="15.75" customHeight="1">
      <c r="D683" s="42"/>
      <c r="E683" s="42"/>
    </row>
    <row r="684" ht="15.75" customHeight="1">
      <c r="D684" s="42"/>
      <c r="E684" s="42"/>
    </row>
    <row r="685" ht="15.75" customHeight="1">
      <c r="D685" s="42"/>
      <c r="E685" s="42"/>
    </row>
    <row r="686" ht="15.75" customHeight="1">
      <c r="D686" s="42"/>
      <c r="E686" s="42"/>
    </row>
    <row r="687" ht="15.75" customHeight="1">
      <c r="D687" s="42"/>
      <c r="E687" s="42"/>
    </row>
    <row r="688" ht="15.75" customHeight="1">
      <c r="D688" s="42"/>
      <c r="E688" s="42"/>
    </row>
    <row r="689" ht="15.75" customHeight="1">
      <c r="D689" s="42"/>
      <c r="E689" s="42"/>
    </row>
    <row r="690" ht="15.75" customHeight="1">
      <c r="D690" s="42"/>
      <c r="E690" s="42"/>
    </row>
    <row r="691" ht="15.75" customHeight="1">
      <c r="D691" s="42"/>
      <c r="E691" s="42"/>
    </row>
    <row r="692" ht="15.75" customHeight="1">
      <c r="D692" s="42"/>
      <c r="E692" s="42"/>
    </row>
    <row r="693" ht="15.75" customHeight="1">
      <c r="D693" s="42"/>
      <c r="E693" s="42"/>
    </row>
    <row r="694" ht="15.75" customHeight="1">
      <c r="D694" s="42"/>
      <c r="E694" s="42"/>
    </row>
    <row r="695" ht="15.75" customHeight="1">
      <c r="D695" s="42"/>
      <c r="E695" s="42"/>
    </row>
    <row r="696" ht="15.75" customHeight="1">
      <c r="D696" s="42"/>
      <c r="E696" s="42"/>
    </row>
    <row r="697" ht="15.75" customHeight="1">
      <c r="D697" s="42"/>
      <c r="E697" s="42"/>
    </row>
    <row r="698" ht="15.75" customHeight="1">
      <c r="D698" s="42"/>
      <c r="E698" s="42"/>
    </row>
    <row r="699" ht="15.75" customHeight="1">
      <c r="D699" s="42"/>
      <c r="E699" s="42"/>
    </row>
    <row r="700" ht="15.75" customHeight="1">
      <c r="D700" s="42"/>
      <c r="E700" s="42"/>
    </row>
    <row r="701" ht="15.75" customHeight="1">
      <c r="D701" s="42"/>
      <c r="E701" s="42"/>
    </row>
    <row r="702" ht="15.75" customHeight="1">
      <c r="D702" s="42"/>
      <c r="E702" s="42"/>
    </row>
    <row r="703" ht="15.75" customHeight="1">
      <c r="D703" s="42"/>
      <c r="E703" s="42"/>
    </row>
    <row r="704" ht="15.75" customHeight="1">
      <c r="D704" s="42"/>
      <c r="E704" s="42"/>
    </row>
    <row r="705" ht="15.75" customHeight="1">
      <c r="D705" s="42"/>
      <c r="E705" s="42"/>
    </row>
    <row r="706" ht="15.75" customHeight="1">
      <c r="D706" s="42"/>
      <c r="E706" s="42"/>
    </row>
    <row r="707" ht="15.75" customHeight="1">
      <c r="D707" s="42"/>
      <c r="E707" s="42"/>
    </row>
    <row r="708" ht="15.75" customHeight="1">
      <c r="D708" s="42"/>
      <c r="E708" s="42"/>
    </row>
    <row r="709" ht="15.75" customHeight="1">
      <c r="D709" s="42"/>
      <c r="E709" s="42"/>
    </row>
    <row r="710" ht="15.75" customHeight="1">
      <c r="D710" s="42"/>
      <c r="E710" s="42"/>
    </row>
    <row r="711" ht="15.75" customHeight="1">
      <c r="D711" s="42"/>
      <c r="E711" s="42"/>
    </row>
    <row r="712" ht="15.75" customHeight="1">
      <c r="D712" s="42"/>
      <c r="E712" s="42"/>
    </row>
    <row r="713" ht="15.75" customHeight="1">
      <c r="D713" s="42"/>
      <c r="E713" s="42"/>
    </row>
    <row r="714" ht="15.75" customHeight="1">
      <c r="D714" s="42"/>
      <c r="E714" s="42"/>
    </row>
    <row r="715" ht="15.75" customHeight="1">
      <c r="D715" s="42"/>
      <c r="E715" s="42"/>
    </row>
    <row r="716" ht="15.75" customHeight="1">
      <c r="D716" s="42"/>
      <c r="E716" s="42"/>
    </row>
    <row r="717" ht="15.75" customHeight="1">
      <c r="D717" s="42"/>
      <c r="E717" s="42"/>
    </row>
    <row r="718" ht="15.75" customHeight="1">
      <c r="D718" s="42"/>
      <c r="E718" s="42"/>
    </row>
    <row r="719" ht="15.75" customHeight="1">
      <c r="D719" s="42"/>
      <c r="E719" s="42"/>
    </row>
    <row r="720" ht="15.75" customHeight="1">
      <c r="D720" s="42"/>
      <c r="E720" s="42"/>
    </row>
    <row r="721" ht="15.75" customHeight="1">
      <c r="D721" s="42"/>
      <c r="E721" s="42"/>
    </row>
    <row r="722" ht="15.75" customHeight="1">
      <c r="D722" s="42"/>
      <c r="E722" s="42"/>
    </row>
    <row r="723" ht="15.75" customHeight="1">
      <c r="D723" s="42"/>
      <c r="E723" s="42"/>
    </row>
    <row r="724" ht="15.75" customHeight="1">
      <c r="D724" s="42"/>
      <c r="E724" s="42"/>
    </row>
    <row r="725" ht="15.75" customHeight="1">
      <c r="D725" s="42"/>
      <c r="E725" s="42"/>
    </row>
    <row r="726" ht="15.75" customHeight="1">
      <c r="D726" s="42"/>
      <c r="E726" s="42"/>
    </row>
    <row r="727" ht="15.75" customHeight="1">
      <c r="D727" s="42"/>
      <c r="E727" s="42"/>
    </row>
    <row r="728" ht="15.75" customHeight="1">
      <c r="D728" s="42"/>
      <c r="E728" s="42"/>
    </row>
    <row r="729" ht="15.75" customHeight="1">
      <c r="D729" s="42"/>
      <c r="E729" s="42"/>
    </row>
    <row r="730" ht="15.75" customHeight="1">
      <c r="D730" s="42"/>
      <c r="E730" s="42"/>
    </row>
    <row r="731" ht="15.75" customHeight="1">
      <c r="D731" s="42"/>
      <c r="E731" s="42"/>
    </row>
    <row r="732" ht="15.75" customHeight="1">
      <c r="D732" s="42"/>
      <c r="E732" s="42"/>
    </row>
    <row r="733" ht="15.75" customHeight="1">
      <c r="D733" s="42"/>
      <c r="E733" s="42"/>
    </row>
    <row r="734" ht="15.75" customHeight="1">
      <c r="D734" s="42"/>
      <c r="E734" s="42"/>
    </row>
    <row r="735" ht="15.75" customHeight="1">
      <c r="D735" s="42"/>
      <c r="E735" s="42"/>
    </row>
    <row r="736" ht="15.75" customHeight="1">
      <c r="D736" s="42"/>
      <c r="E736" s="42"/>
    </row>
    <row r="737" ht="15.75" customHeight="1">
      <c r="D737" s="42"/>
      <c r="E737" s="42"/>
    </row>
    <row r="738" ht="15.75" customHeight="1">
      <c r="D738" s="42"/>
      <c r="E738" s="42"/>
    </row>
    <row r="739" ht="15.75" customHeight="1">
      <c r="D739" s="42"/>
      <c r="E739" s="42"/>
    </row>
    <row r="740" ht="15.75" customHeight="1">
      <c r="D740" s="42"/>
      <c r="E740" s="42"/>
    </row>
    <row r="741" ht="15.75" customHeight="1">
      <c r="D741" s="42"/>
      <c r="E741" s="42"/>
    </row>
    <row r="742" ht="15.75" customHeight="1">
      <c r="D742" s="42"/>
      <c r="E742" s="42"/>
    </row>
    <row r="743" ht="15.75" customHeight="1">
      <c r="D743" s="42"/>
      <c r="E743" s="42"/>
    </row>
    <row r="744" ht="15.75" customHeight="1">
      <c r="D744" s="42"/>
      <c r="E744" s="42"/>
    </row>
    <row r="745" ht="15.75" customHeight="1">
      <c r="D745" s="42"/>
      <c r="E745" s="42"/>
    </row>
    <row r="746" ht="15.75" customHeight="1">
      <c r="D746" s="42"/>
      <c r="E746" s="42"/>
    </row>
    <row r="747" ht="15.75" customHeight="1">
      <c r="D747" s="42"/>
      <c r="E747" s="42"/>
    </row>
    <row r="748" ht="15.75" customHeight="1">
      <c r="D748" s="42"/>
      <c r="E748" s="42"/>
    </row>
    <row r="749" ht="15.75" customHeight="1">
      <c r="D749" s="42"/>
      <c r="E749" s="42"/>
    </row>
    <row r="750" ht="15.75" customHeight="1">
      <c r="D750" s="42"/>
      <c r="E750" s="42"/>
    </row>
    <row r="751" ht="15.75" customHeight="1">
      <c r="D751" s="42"/>
      <c r="E751" s="42"/>
    </row>
    <row r="752" ht="15.75" customHeight="1">
      <c r="D752" s="42"/>
      <c r="E752" s="42"/>
    </row>
    <row r="753" ht="15.75" customHeight="1">
      <c r="D753" s="42"/>
      <c r="E753" s="42"/>
    </row>
    <row r="754" ht="15.75" customHeight="1">
      <c r="D754" s="42"/>
      <c r="E754" s="42"/>
    </row>
    <row r="755" ht="15.75" customHeight="1">
      <c r="D755" s="42"/>
      <c r="E755" s="42"/>
    </row>
    <row r="756" ht="15.75" customHeight="1">
      <c r="D756" s="42"/>
      <c r="E756" s="42"/>
    </row>
    <row r="757" ht="15.75" customHeight="1">
      <c r="D757" s="42"/>
      <c r="E757" s="42"/>
    </row>
    <row r="758" ht="15.75" customHeight="1">
      <c r="D758" s="42"/>
      <c r="E758" s="42"/>
    </row>
    <row r="759" ht="15.75" customHeight="1">
      <c r="D759" s="42"/>
      <c r="E759" s="42"/>
    </row>
    <row r="760" ht="15.75" customHeight="1">
      <c r="D760" s="42"/>
      <c r="E760" s="42"/>
    </row>
    <row r="761" ht="15.75" customHeight="1">
      <c r="D761" s="42"/>
      <c r="E761" s="42"/>
    </row>
    <row r="762" ht="15.75" customHeight="1">
      <c r="D762" s="42"/>
      <c r="E762" s="42"/>
    </row>
    <row r="763" ht="15.75" customHeight="1">
      <c r="D763" s="42"/>
      <c r="E763" s="42"/>
    </row>
    <row r="764" ht="15.75" customHeight="1">
      <c r="D764" s="42"/>
      <c r="E764" s="42"/>
    </row>
    <row r="765" ht="15.75" customHeight="1">
      <c r="D765" s="42"/>
      <c r="E765" s="42"/>
    </row>
    <row r="766" ht="15.75" customHeight="1">
      <c r="D766" s="42"/>
      <c r="E766" s="42"/>
    </row>
    <row r="767" ht="15.75" customHeight="1">
      <c r="D767" s="42"/>
      <c r="E767" s="42"/>
    </row>
    <row r="768" ht="15.75" customHeight="1">
      <c r="D768" s="42"/>
      <c r="E768" s="42"/>
    </row>
    <row r="769" ht="15.75" customHeight="1">
      <c r="D769" s="42"/>
      <c r="E769" s="42"/>
    </row>
    <row r="770" ht="15.75" customHeight="1">
      <c r="D770" s="42"/>
      <c r="E770" s="42"/>
    </row>
    <row r="771" ht="15.75" customHeight="1">
      <c r="D771" s="42"/>
      <c r="E771" s="42"/>
    </row>
    <row r="772" ht="15.75" customHeight="1">
      <c r="D772" s="42"/>
      <c r="E772" s="42"/>
    </row>
    <row r="773" ht="15.75" customHeight="1">
      <c r="D773" s="42"/>
      <c r="E773" s="42"/>
    </row>
    <row r="774" ht="15.75" customHeight="1">
      <c r="D774" s="42"/>
      <c r="E774" s="42"/>
    </row>
    <row r="775" ht="15.75" customHeight="1">
      <c r="D775" s="42"/>
      <c r="E775" s="42"/>
    </row>
    <row r="776" ht="15.75" customHeight="1">
      <c r="D776" s="42"/>
      <c r="E776" s="42"/>
    </row>
    <row r="777" ht="15.75" customHeight="1">
      <c r="D777" s="42"/>
      <c r="E777" s="42"/>
    </row>
    <row r="778" ht="15.75" customHeight="1">
      <c r="D778" s="42"/>
      <c r="E778" s="42"/>
    </row>
    <row r="779" ht="15.75" customHeight="1">
      <c r="D779" s="42"/>
      <c r="E779" s="42"/>
    </row>
    <row r="780" ht="15.75" customHeight="1">
      <c r="D780" s="42"/>
      <c r="E780" s="42"/>
    </row>
    <row r="781" ht="15.75" customHeight="1">
      <c r="D781" s="42"/>
      <c r="E781" s="42"/>
    </row>
    <row r="782" ht="15.75" customHeight="1">
      <c r="D782" s="42"/>
      <c r="E782" s="42"/>
    </row>
    <row r="783" ht="15.75" customHeight="1">
      <c r="D783" s="42"/>
      <c r="E783" s="42"/>
    </row>
    <row r="784" ht="15.75" customHeight="1">
      <c r="D784" s="42"/>
      <c r="E784" s="42"/>
    </row>
    <row r="785" ht="15.75" customHeight="1">
      <c r="D785" s="42"/>
      <c r="E785" s="42"/>
    </row>
    <row r="786" ht="15.75" customHeight="1">
      <c r="D786" s="42"/>
      <c r="E786" s="42"/>
    </row>
    <row r="787" ht="15.75" customHeight="1">
      <c r="D787" s="42"/>
      <c r="E787" s="42"/>
    </row>
    <row r="788" ht="15.75" customHeight="1">
      <c r="D788" s="42"/>
      <c r="E788" s="42"/>
    </row>
    <row r="789" ht="15.75" customHeight="1">
      <c r="D789" s="42"/>
      <c r="E789" s="42"/>
    </row>
    <row r="790" ht="15.75" customHeight="1">
      <c r="D790" s="42"/>
      <c r="E790" s="42"/>
    </row>
    <row r="791" ht="15.75" customHeight="1">
      <c r="D791" s="42"/>
      <c r="E791" s="42"/>
    </row>
    <row r="792" ht="15.75" customHeight="1">
      <c r="D792" s="42"/>
      <c r="E792" s="42"/>
    </row>
    <row r="793" ht="15.75" customHeight="1">
      <c r="D793" s="42"/>
      <c r="E793" s="42"/>
    </row>
    <row r="794" ht="15.75" customHeight="1">
      <c r="D794" s="42"/>
      <c r="E794" s="42"/>
    </row>
    <row r="795" ht="15.75" customHeight="1">
      <c r="D795" s="42"/>
      <c r="E795" s="42"/>
    </row>
    <row r="796" ht="15.75" customHeight="1">
      <c r="D796" s="42"/>
      <c r="E796" s="42"/>
    </row>
    <row r="797" ht="15.75" customHeight="1">
      <c r="D797" s="42"/>
      <c r="E797" s="42"/>
    </row>
    <row r="798" ht="15.75" customHeight="1">
      <c r="D798" s="42"/>
      <c r="E798" s="42"/>
    </row>
    <row r="799" ht="15.75" customHeight="1">
      <c r="D799" s="42"/>
      <c r="E799" s="42"/>
    </row>
    <row r="800" ht="15.75" customHeight="1">
      <c r="D800" s="42"/>
      <c r="E800" s="42"/>
    </row>
    <row r="801" ht="15.75" customHeight="1">
      <c r="D801" s="42"/>
      <c r="E801" s="42"/>
    </row>
    <row r="802" ht="15.75" customHeight="1">
      <c r="D802" s="42"/>
      <c r="E802" s="42"/>
    </row>
    <row r="803" ht="15.75" customHeight="1">
      <c r="D803" s="42"/>
      <c r="E803" s="42"/>
    </row>
    <row r="804" ht="15.75" customHeight="1">
      <c r="D804" s="42"/>
      <c r="E804" s="42"/>
    </row>
    <row r="805" ht="15.75" customHeight="1">
      <c r="D805" s="42"/>
      <c r="E805" s="42"/>
    </row>
    <row r="806" ht="15.75" customHeight="1">
      <c r="D806" s="42"/>
      <c r="E806" s="42"/>
    </row>
    <row r="807" ht="15.75" customHeight="1">
      <c r="D807" s="42"/>
      <c r="E807" s="42"/>
    </row>
    <row r="808" ht="15.75" customHeight="1">
      <c r="D808" s="42"/>
      <c r="E808" s="42"/>
    </row>
    <row r="809" ht="15.75" customHeight="1">
      <c r="D809" s="42"/>
      <c r="E809" s="42"/>
    </row>
    <row r="810" ht="15.75" customHeight="1">
      <c r="D810" s="42"/>
      <c r="E810" s="42"/>
    </row>
    <row r="811" ht="15.75" customHeight="1">
      <c r="D811" s="42"/>
      <c r="E811" s="42"/>
    </row>
    <row r="812" ht="15.75" customHeight="1">
      <c r="D812" s="42"/>
      <c r="E812" s="42"/>
    </row>
    <row r="813" ht="15.75" customHeight="1">
      <c r="D813" s="42"/>
      <c r="E813" s="42"/>
    </row>
    <row r="814" ht="15.75" customHeight="1">
      <c r="D814" s="42"/>
      <c r="E814" s="42"/>
    </row>
    <row r="815" ht="15.75" customHeight="1">
      <c r="D815" s="42"/>
      <c r="E815" s="42"/>
    </row>
    <row r="816" ht="15.75" customHeight="1">
      <c r="D816" s="42"/>
      <c r="E816" s="42"/>
    </row>
    <row r="817" ht="15.75" customHeight="1">
      <c r="D817" s="42"/>
      <c r="E817" s="42"/>
    </row>
    <row r="818" ht="15.75" customHeight="1">
      <c r="D818" s="42"/>
      <c r="E818" s="42"/>
    </row>
    <row r="819" ht="15.75" customHeight="1">
      <c r="D819" s="42"/>
      <c r="E819" s="42"/>
    </row>
    <row r="820" ht="15.75" customHeight="1">
      <c r="D820" s="42"/>
      <c r="E820" s="42"/>
    </row>
    <row r="821" ht="15.75" customHeight="1">
      <c r="D821" s="42"/>
      <c r="E821" s="42"/>
    </row>
    <row r="822" ht="15.75" customHeight="1">
      <c r="D822" s="42"/>
      <c r="E822" s="42"/>
    </row>
    <row r="823" ht="15.75" customHeight="1">
      <c r="D823" s="42"/>
      <c r="E823" s="42"/>
    </row>
    <row r="824" ht="15.75" customHeight="1">
      <c r="D824" s="42"/>
      <c r="E824" s="42"/>
    </row>
    <row r="825" ht="15.75" customHeight="1">
      <c r="D825" s="42"/>
      <c r="E825" s="42"/>
    </row>
    <row r="826" ht="15.75" customHeight="1">
      <c r="D826" s="42"/>
      <c r="E826" s="42"/>
    </row>
    <row r="827" ht="15.75" customHeight="1">
      <c r="D827" s="42"/>
      <c r="E827" s="42"/>
    </row>
    <row r="828" ht="15.75" customHeight="1">
      <c r="D828" s="42"/>
      <c r="E828" s="42"/>
    </row>
    <row r="829" ht="15.75" customHeight="1">
      <c r="D829" s="42"/>
      <c r="E829" s="42"/>
    </row>
    <row r="830" ht="15.75" customHeight="1">
      <c r="D830" s="42"/>
      <c r="E830" s="42"/>
    </row>
    <row r="831" ht="15.75" customHeight="1">
      <c r="D831" s="42"/>
      <c r="E831" s="42"/>
    </row>
    <row r="832" ht="15.75" customHeight="1">
      <c r="D832" s="42"/>
      <c r="E832" s="42"/>
    </row>
    <row r="833" ht="15.75" customHeight="1">
      <c r="D833" s="42"/>
      <c r="E833" s="42"/>
    </row>
    <row r="834" ht="15.75" customHeight="1">
      <c r="D834" s="42"/>
      <c r="E834" s="42"/>
    </row>
    <row r="835" ht="15.75" customHeight="1">
      <c r="D835" s="42"/>
      <c r="E835" s="42"/>
    </row>
    <row r="836" ht="15.75" customHeight="1">
      <c r="D836" s="42"/>
      <c r="E836" s="42"/>
    </row>
    <row r="837" ht="15.75" customHeight="1">
      <c r="D837" s="42"/>
      <c r="E837" s="42"/>
    </row>
    <row r="838" ht="15.75" customHeight="1">
      <c r="D838" s="42"/>
      <c r="E838" s="42"/>
    </row>
    <row r="839" ht="15.75" customHeight="1">
      <c r="D839" s="42"/>
      <c r="E839" s="42"/>
    </row>
    <row r="840" ht="15.75" customHeight="1">
      <c r="D840" s="42"/>
      <c r="E840" s="42"/>
    </row>
    <row r="841" ht="15.75" customHeight="1">
      <c r="D841" s="42"/>
      <c r="E841" s="42"/>
    </row>
    <row r="842" ht="15.75" customHeight="1">
      <c r="D842" s="42"/>
      <c r="E842" s="42"/>
    </row>
    <row r="843" ht="15.75" customHeight="1">
      <c r="D843" s="42"/>
      <c r="E843" s="42"/>
    </row>
    <row r="844" ht="15.75" customHeight="1">
      <c r="D844" s="42"/>
      <c r="E844" s="42"/>
    </row>
    <row r="845" ht="15.75" customHeight="1">
      <c r="D845" s="42"/>
      <c r="E845" s="42"/>
    </row>
    <row r="846" ht="15.75" customHeight="1">
      <c r="D846" s="42"/>
      <c r="E846" s="42"/>
    </row>
    <row r="847" ht="15.75" customHeight="1">
      <c r="D847" s="42"/>
      <c r="E847" s="42"/>
    </row>
    <row r="848" ht="15.75" customHeight="1">
      <c r="D848" s="42"/>
      <c r="E848" s="42"/>
    </row>
    <row r="849" ht="15.75" customHeight="1">
      <c r="D849" s="42"/>
      <c r="E849" s="42"/>
    </row>
    <row r="850" ht="15.75" customHeight="1">
      <c r="D850" s="42"/>
      <c r="E850" s="42"/>
    </row>
    <row r="851" ht="15.75" customHeight="1">
      <c r="D851" s="42"/>
      <c r="E851" s="42"/>
    </row>
    <row r="852" ht="15.75" customHeight="1">
      <c r="D852" s="42"/>
      <c r="E852" s="42"/>
    </row>
    <row r="853" ht="15.75" customHeight="1">
      <c r="D853" s="42"/>
      <c r="E853" s="42"/>
    </row>
    <row r="854" ht="15.75" customHeight="1">
      <c r="D854" s="42"/>
      <c r="E854" s="42"/>
    </row>
    <row r="855" ht="15.75" customHeight="1">
      <c r="D855" s="42"/>
      <c r="E855" s="42"/>
    </row>
    <row r="856" ht="15.75" customHeight="1">
      <c r="D856" s="42"/>
      <c r="E856" s="42"/>
    </row>
    <row r="857" ht="15.75" customHeight="1">
      <c r="D857" s="42"/>
      <c r="E857" s="42"/>
    </row>
    <row r="858" ht="15.75" customHeight="1">
      <c r="D858" s="42"/>
      <c r="E858" s="42"/>
    </row>
    <row r="859" ht="15.75" customHeight="1">
      <c r="D859" s="42"/>
      <c r="E859" s="42"/>
    </row>
    <row r="860" ht="15.75" customHeight="1">
      <c r="D860" s="42"/>
      <c r="E860" s="42"/>
    </row>
    <row r="861" ht="15.75" customHeight="1">
      <c r="D861" s="42"/>
      <c r="E861" s="42"/>
    </row>
    <row r="862" ht="15.75" customHeight="1">
      <c r="D862" s="42"/>
      <c r="E862" s="42"/>
    </row>
    <row r="863" ht="15.75" customHeight="1">
      <c r="D863" s="42"/>
      <c r="E863" s="42"/>
    </row>
    <row r="864" ht="15.75" customHeight="1">
      <c r="D864" s="42"/>
      <c r="E864" s="42"/>
    </row>
    <row r="865" ht="15.75" customHeight="1">
      <c r="D865" s="42"/>
      <c r="E865" s="42"/>
    </row>
    <row r="866" ht="15.75" customHeight="1">
      <c r="D866" s="42"/>
      <c r="E866" s="42"/>
    </row>
    <row r="867" ht="15.75" customHeight="1">
      <c r="D867" s="42"/>
      <c r="E867" s="42"/>
    </row>
    <row r="868" ht="15.75" customHeight="1">
      <c r="D868" s="42"/>
      <c r="E868" s="42"/>
    </row>
    <row r="869" ht="15.75" customHeight="1">
      <c r="D869" s="42"/>
      <c r="E869" s="42"/>
    </row>
    <row r="870" ht="15.75" customHeight="1">
      <c r="D870" s="42"/>
      <c r="E870" s="42"/>
    </row>
    <row r="871" ht="15.75" customHeight="1">
      <c r="D871" s="42"/>
      <c r="E871" s="42"/>
    </row>
    <row r="872" ht="15.75" customHeight="1">
      <c r="D872" s="42"/>
      <c r="E872" s="42"/>
    </row>
    <row r="873" ht="15.75" customHeight="1">
      <c r="D873" s="42"/>
      <c r="E873" s="42"/>
    </row>
    <row r="874" ht="15.75" customHeight="1">
      <c r="D874" s="42"/>
      <c r="E874" s="42"/>
    </row>
    <row r="875" ht="15.75" customHeight="1">
      <c r="D875" s="42"/>
      <c r="E875" s="42"/>
    </row>
    <row r="876" ht="15.75" customHeight="1">
      <c r="D876" s="42"/>
      <c r="E876" s="42"/>
    </row>
    <row r="877" ht="15.75" customHeight="1">
      <c r="D877" s="42"/>
      <c r="E877" s="42"/>
    </row>
    <row r="878" ht="15.75" customHeight="1">
      <c r="D878" s="42"/>
      <c r="E878" s="42"/>
    </row>
    <row r="879" ht="15.75" customHeight="1">
      <c r="D879" s="42"/>
      <c r="E879" s="42"/>
    </row>
    <row r="880" ht="15.75" customHeight="1">
      <c r="D880" s="42"/>
      <c r="E880" s="42"/>
    </row>
    <row r="881" ht="15.75" customHeight="1">
      <c r="D881" s="42"/>
      <c r="E881" s="42"/>
    </row>
    <row r="882" ht="15.75" customHeight="1">
      <c r="D882" s="42"/>
      <c r="E882" s="42"/>
    </row>
    <row r="883" ht="15.75" customHeight="1">
      <c r="D883" s="42"/>
      <c r="E883" s="42"/>
    </row>
    <row r="884" ht="15.75" customHeight="1">
      <c r="D884" s="42"/>
      <c r="E884" s="42"/>
    </row>
    <row r="885" ht="15.75" customHeight="1">
      <c r="D885" s="42"/>
      <c r="E885" s="42"/>
    </row>
    <row r="886" ht="15.75" customHeight="1">
      <c r="D886" s="42"/>
      <c r="E886" s="42"/>
    </row>
    <row r="887" ht="15.75" customHeight="1">
      <c r="D887" s="42"/>
      <c r="E887" s="42"/>
    </row>
    <row r="888" ht="15.75" customHeight="1">
      <c r="D888" s="42"/>
      <c r="E888" s="42"/>
    </row>
    <row r="889" ht="15.75" customHeight="1">
      <c r="D889" s="42"/>
      <c r="E889" s="42"/>
    </row>
    <row r="890" ht="15.75" customHeight="1">
      <c r="D890" s="42"/>
      <c r="E890" s="42"/>
    </row>
    <row r="891" ht="15.75" customHeight="1">
      <c r="D891" s="42"/>
      <c r="E891" s="42"/>
    </row>
    <row r="892" ht="15.75" customHeight="1">
      <c r="D892" s="42"/>
      <c r="E892" s="42"/>
    </row>
    <row r="893" ht="15.75" customHeight="1">
      <c r="D893" s="42"/>
      <c r="E893" s="42"/>
    </row>
    <row r="894" ht="15.75" customHeight="1">
      <c r="D894" s="42"/>
      <c r="E894" s="42"/>
    </row>
    <row r="895" ht="15.75" customHeight="1">
      <c r="D895" s="42"/>
      <c r="E895" s="42"/>
    </row>
    <row r="896" ht="15.75" customHeight="1">
      <c r="D896" s="42"/>
      <c r="E896" s="42"/>
    </row>
    <row r="897" ht="15.75" customHeight="1">
      <c r="D897" s="42"/>
      <c r="E897" s="42"/>
    </row>
    <row r="898" ht="15.75" customHeight="1">
      <c r="D898" s="42"/>
      <c r="E898" s="42"/>
    </row>
    <row r="899" ht="15.75" customHeight="1">
      <c r="D899" s="42"/>
      <c r="E899" s="42"/>
    </row>
    <row r="900" ht="15.75" customHeight="1">
      <c r="D900" s="42"/>
      <c r="E900" s="42"/>
    </row>
    <row r="901" ht="15.75" customHeight="1">
      <c r="D901" s="42"/>
      <c r="E901" s="42"/>
    </row>
    <row r="902" ht="15.75" customHeight="1">
      <c r="D902" s="42"/>
      <c r="E902" s="42"/>
    </row>
    <row r="903" ht="15.75" customHeight="1">
      <c r="D903" s="42"/>
      <c r="E903" s="42"/>
    </row>
    <row r="904" ht="15.75" customHeight="1">
      <c r="D904" s="42"/>
      <c r="E904" s="42"/>
    </row>
    <row r="905" ht="15.75" customHeight="1">
      <c r="D905" s="42"/>
      <c r="E905" s="42"/>
    </row>
    <row r="906" ht="15.75" customHeight="1">
      <c r="D906" s="42"/>
      <c r="E906" s="42"/>
    </row>
    <row r="907" ht="15.75" customHeight="1">
      <c r="D907" s="42"/>
      <c r="E907" s="42"/>
    </row>
    <row r="908" ht="15.75" customHeight="1">
      <c r="D908" s="42"/>
      <c r="E908" s="42"/>
    </row>
    <row r="909" ht="15.75" customHeight="1">
      <c r="D909" s="42"/>
      <c r="E909" s="42"/>
    </row>
    <row r="910" ht="15.75" customHeight="1">
      <c r="D910" s="42"/>
      <c r="E910" s="42"/>
    </row>
    <row r="911" ht="15.75" customHeight="1">
      <c r="D911" s="42"/>
      <c r="E911" s="42"/>
    </row>
    <row r="912" ht="15.75" customHeight="1">
      <c r="D912" s="42"/>
      <c r="E912" s="42"/>
    </row>
    <row r="913" ht="15.75" customHeight="1">
      <c r="D913" s="42"/>
      <c r="E913" s="42"/>
    </row>
    <row r="914" ht="15.75" customHeight="1">
      <c r="D914" s="42"/>
      <c r="E914" s="42"/>
    </row>
    <row r="915" ht="15.75" customHeight="1">
      <c r="D915" s="42"/>
      <c r="E915" s="42"/>
    </row>
    <row r="916" ht="15.75" customHeight="1">
      <c r="D916" s="42"/>
      <c r="E916" s="42"/>
    </row>
    <row r="917" ht="15.75" customHeight="1">
      <c r="D917" s="42"/>
      <c r="E917" s="42"/>
    </row>
    <row r="918" ht="15.75" customHeight="1">
      <c r="D918" s="42"/>
      <c r="E918" s="42"/>
    </row>
    <row r="919" ht="15.75" customHeight="1">
      <c r="D919" s="42"/>
      <c r="E919" s="42"/>
    </row>
    <row r="920" ht="15.75" customHeight="1">
      <c r="D920" s="42"/>
      <c r="E920" s="42"/>
    </row>
    <row r="921" ht="15.75" customHeight="1">
      <c r="D921" s="42"/>
      <c r="E921" s="42"/>
    </row>
    <row r="922" ht="15.75" customHeight="1">
      <c r="D922" s="42"/>
      <c r="E922" s="42"/>
    </row>
    <row r="923" ht="15.75" customHeight="1">
      <c r="D923" s="42"/>
      <c r="E923" s="42"/>
    </row>
    <row r="924" ht="15.75" customHeight="1">
      <c r="D924" s="42"/>
      <c r="E924" s="42"/>
    </row>
    <row r="925" ht="15.75" customHeight="1">
      <c r="D925" s="42"/>
      <c r="E925" s="42"/>
    </row>
    <row r="926" ht="15.75" customHeight="1">
      <c r="D926" s="42"/>
      <c r="E926" s="42"/>
    </row>
    <row r="927" ht="15.75" customHeight="1">
      <c r="D927" s="42"/>
      <c r="E927" s="42"/>
    </row>
    <row r="928" ht="15.75" customHeight="1">
      <c r="D928" s="42"/>
      <c r="E928" s="42"/>
    </row>
    <row r="929" ht="15.75" customHeight="1">
      <c r="D929" s="42"/>
      <c r="E929" s="42"/>
    </row>
    <row r="930" ht="15.75" customHeight="1">
      <c r="D930" s="42"/>
      <c r="E930" s="42"/>
    </row>
    <row r="931" ht="15.75" customHeight="1">
      <c r="D931" s="42"/>
      <c r="E931" s="42"/>
    </row>
    <row r="932" ht="15.75" customHeight="1">
      <c r="D932" s="42"/>
      <c r="E932" s="42"/>
    </row>
    <row r="933" ht="15.75" customHeight="1">
      <c r="D933" s="42"/>
      <c r="E933" s="42"/>
    </row>
    <row r="934" ht="15.75" customHeight="1">
      <c r="D934" s="42"/>
      <c r="E934" s="42"/>
    </row>
    <row r="935" ht="15.75" customHeight="1">
      <c r="D935" s="42"/>
      <c r="E935" s="42"/>
    </row>
    <row r="936" ht="15.75" customHeight="1">
      <c r="D936" s="42"/>
      <c r="E936" s="42"/>
    </row>
    <row r="937" ht="15.75" customHeight="1">
      <c r="D937" s="42"/>
      <c r="E937" s="42"/>
    </row>
    <row r="938" ht="15.75" customHeight="1">
      <c r="D938" s="42"/>
      <c r="E938" s="42"/>
    </row>
    <row r="939" ht="15.75" customHeight="1">
      <c r="D939" s="42"/>
      <c r="E939" s="42"/>
    </row>
    <row r="940" ht="15.75" customHeight="1">
      <c r="D940" s="42"/>
      <c r="E940" s="42"/>
    </row>
    <row r="941" ht="15.75" customHeight="1">
      <c r="D941" s="42"/>
      <c r="E941" s="42"/>
    </row>
    <row r="942" ht="15.75" customHeight="1">
      <c r="D942" s="42"/>
      <c r="E942" s="42"/>
    </row>
    <row r="943" ht="15.75" customHeight="1">
      <c r="D943" s="42"/>
      <c r="E943" s="42"/>
    </row>
    <row r="944" ht="15.75" customHeight="1">
      <c r="D944" s="42"/>
      <c r="E944" s="42"/>
    </row>
    <row r="945" ht="15.75" customHeight="1">
      <c r="D945" s="42"/>
      <c r="E945" s="42"/>
    </row>
    <row r="946" ht="15.75" customHeight="1">
      <c r="D946" s="42"/>
      <c r="E946" s="42"/>
    </row>
    <row r="947" ht="15.75" customHeight="1">
      <c r="D947" s="42"/>
      <c r="E947" s="42"/>
    </row>
    <row r="948" ht="15.75" customHeight="1">
      <c r="D948" s="42"/>
      <c r="E948" s="42"/>
    </row>
    <row r="949" ht="15.75" customHeight="1">
      <c r="D949" s="42"/>
      <c r="E949" s="42"/>
    </row>
    <row r="950" ht="15.75" customHeight="1">
      <c r="D950" s="42"/>
      <c r="E950" s="42"/>
    </row>
    <row r="951" ht="15.75" customHeight="1">
      <c r="D951" s="42"/>
      <c r="E951" s="42"/>
    </row>
    <row r="952" ht="15.75" customHeight="1">
      <c r="D952" s="42"/>
      <c r="E952" s="42"/>
    </row>
    <row r="953" ht="15.75" customHeight="1">
      <c r="D953" s="42"/>
      <c r="E953" s="42"/>
    </row>
    <row r="954" ht="15.75" customHeight="1">
      <c r="D954" s="42"/>
      <c r="E954" s="42"/>
    </row>
    <row r="955" ht="15.75" customHeight="1">
      <c r="D955" s="42"/>
      <c r="E955" s="42"/>
    </row>
    <row r="956" ht="15.75" customHeight="1">
      <c r="D956" s="42"/>
      <c r="E956" s="42"/>
    </row>
    <row r="957" ht="15.75" customHeight="1">
      <c r="D957" s="42"/>
      <c r="E957" s="42"/>
    </row>
    <row r="958" ht="15.75" customHeight="1">
      <c r="D958" s="42"/>
      <c r="E958" s="42"/>
    </row>
    <row r="959" ht="15.75" customHeight="1">
      <c r="D959" s="42"/>
      <c r="E959" s="42"/>
    </row>
    <row r="960" ht="15.75" customHeight="1">
      <c r="D960" s="42"/>
      <c r="E960" s="42"/>
    </row>
    <row r="961" ht="15.75" customHeight="1">
      <c r="D961" s="42"/>
      <c r="E961" s="42"/>
    </row>
    <row r="962" ht="15.75" customHeight="1">
      <c r="D962" s="42"/>
      <c r="E962" s="42"/>
    </row>
    <row r="963" ht="15.75" customHeight="1">
      <c r="D963" s="42"/>
      <c r="E963" s="42"/>
    </row>
    <row r="964" ht="15.75" customHeight="1">
      <c r="D964" s="42"/>
      <c r="E964" s="42"/>
    </row>
    <row r="965" ht="15.75" customHeight="1">
      <c r="D965" s="42"/>
      <c r="E965" s="42"/>
    </row>
    <row r="966" ht="15.75" customHeight="1">
      <c r="D966" s="42"/>
      <c r="E966" s="42"/>
    </row>
    <row r="967" ht="15.75" customHeight="1">
      <c r="D967" s="42"/>
      <c r="E967" s="42"/>
    </row>
    <row r="968" ht="15.75" customHeight="1">
      <c r="D968" s="42"/>
      <c r="E968" s="42"/>
    </row>
    <row r="969" ht="15.75" customHeight="1">
      <c r="D969" s="42"/>
      <c r="E969" s="42"/>
    </row>
    <row r="970" ht="15.75" customHeight="1">
      <c r="D970" s="42"/>
      <c r="E970" s="42"/>
    </row>
    <row r="971" ht="15.75" customHeight="1">
      <c r="D971" s="42"/>
      <c r="E971" s="42"/>
    </row>
    <row r="972" ht="15.75" customHeight="1">
      <c r="D972" s="42"/>
      <c r="E972" s="42"/>
    </row>
    <row r="973" ht="15.75" customHeight="1">
      <c r="D973" s="42"/>
      <c r="E973" s="42"/>
    </row>
    <row r="974" ht="15.75" customHeight="1">
      <c r="D974" s="42"/>
      <c r="E974" s="42"/>
    </row>
    <row r="975" ht="15.75" customHeight="1">
      <c r="D975" s="42"/>
      <c r="E975" s="42"/>
    </row>
    <row r="976" ht="15.75" customHeight="1">
      <c r="D976" s="42"/>
      <c r="E976" s="42"/>
    </row>
    <row r="977" ht="15.75" customHeight="1">
      <c r="D977" s="42"/>
      <c r="E977" s="42"/>
    </row>
    <row r="978" ht="15.75" customHeight="1">
      <c r="D978" s="42"/>
      <c r="E978" s="42"/>
    </row>
    <row r="979" ht="15.75" customHeight="1">
      <c r="D979" s="42"/>
      <c r="E979" s="42"/>
    </row>
    <row r="980" ht="15.75" customHeight="1">
      <c r="D980" s="42"/>
      <c r="E980" s="42"/>
    </row>
    <row r="981" ht="15.75" customHeight="1">
      <c r="D981" s="42"/>
      <c r="E981" s="42"/>
    </row>
    <row r="982" ht="15.75" customHeight="1">
      <c r="D982" s="42"/>
      <c r="E982" s="42"/>
    </row>
    <row r="983" ht="15.75" customHeight="1">
      <c r="D983" s="42"/>
      <c r="E983" s="42"/>
    </row>
    <row r="984" ht="15.75" customHeight="1">
      <c r="D984" s="42"/>
      <c r="E984" s="42"/>
    </row>
    <row r="985" ht="15.75" customHeight="1">
      <c r="D985" s="42"/>
      <c r="E985" s="42"/>
    </row>
    <row r="986" ht="15.75" customHeight="1">
      <c r="D986" s="42"/>
      <c r="E986" s="42"/>
    </row>
    <row r="987" ht="15.75" customHeight="1">
      <c r="D987" s="42"/>
      <c r="E987" s="42"/>
    </row>
    <row r="988" ht="15.75" customHeight="1">
      <c r="D988" s="42"/>
      <c r="E988" s="42"/>
    </row>
    <row r="989" ht="15.75" customHeight="1">
      <c r="D989" s="42"/>
      <c r="E989" s="42"/>
    </row>
    <row r="990" ht="15.75" customHeight="1">
      <c r="D990" s="42"/>
      <c r="E990" s="42"/>
    </row>
    <row r="991" ht="15.75" customHeight="1">
      <c r="D991" s="42"/>
      <c r="E991" s="42"/>
    </row>
    <row r="992" ht="15.75" customHeight="1">
      <c r="D992" s="42"/>
      <c r="E992" s="42"/>
    </row>
    <row r="993" ht="15.75" customHeight="1">
      <c r="D993" s="42"/>
      <c r="E993" s="42"/>
    </row>
    <row r="994" ht="15.75" customHeight="1">
      <c r="D994" s="42"/>
      <c r="E994" s="42"/>
    </row>
    <row r="995" ht="15.75" customHeight="1">
      <c r="D995" s="42"/>
      <c r="E995" s="42"/>
    </row>
    <row r="996" ht="15.75" customHeight="1">
      <c r="D996" s="42"/>
      <c r="E996" s="42"/>
    </row>
    <row r="997" ht="15.75" customHeight="1">
      <c r="D997" s="42"/>
      <c r="E997" s="42"/>
    </row>
    <row r="998" ht="15.75" customHeight="1">
      <c r="D998" s="42"/>
      <c r="E998" s="42"/>
    </row>
    <row r="999" ht="15.75" customHeight="1">
      <c r="D999" s="42"/>
      <c r="E999" s="42"/>
    </row>
    <row r="1000" ht="15.75" customHeight="1">
      <c r="D1000" s="42"/>
      <c r="E1000" s="42"/>
    </row>
  </sheetData>
  <mergeCells count="12">
    <mergeCell ref="O6:R6"/>
    <mergeCell ref="S6:V6"/>
    <mergeCell ref="A23:C23"/>
    <mergeCell ref="A24:C24"/>
    <mergeCell ref="A1:Z2"/>
    <mergeCell ref="A3:Z4"/>
    <mergeCell ref="A5:Z5"/>
    <mergeCell ref="A6:A7"/>
    <mergeCell ref="E6:E7"/>
    <mergeCell ref="F6:I6"/>
    <mergeCell ref="J6:N6"/>
    <mergeCell ref="W6:Z6"/>
  </mergeCells>
  <printOptions/>
  <pageMargins bottom="0.2" footer="0.0" header="0.0" left="0.2" right="0.2" top="0.2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2.57"/>
    <col customWidth="1" min="3" max="3" width="9.86"/>
    <col customWidth="1" min="4" max="4" width="11.43"/>
    <col customWidth="1" min="5" max="5" width="16.57"/>
    <col customWidth="1" min="6" max="6" width="14.43"/>
    <col customWidth="1" hidden="1" min="7" max="7" width="11.71"/>
    <col customWidth="1" min="8" max="8" width="10.71"/>
    <col customWidth="1" min="9" max="9" width="9.29"/>
    <col customWidth="1" min="10" max="10" width="12.29"/>
    <col customWidth="1" hidden="1" min="11" max="11" width="12.29"/>
    <col customWidth="1" min="12" max="12" width="10.71"/>
    <col customWidth="1" min="13" max="13" width="0.14"/>
    <col customWidth="1" min="14" max="14" width="10.29"/>
    <col customWidth="1" min="15" max="15" width="13.43"/>
    <col customWidth="1" hidden="1" min="16" max="16" width="14.29"/>
    <col customWidth="1" min="17" max="17" width="10.29"/>
    <col customWidth="1" min="18" max="18" width="9.57"/>
    <col customWidth="1" min="19" max="19" width="13.29"/>
    <col customWidth="1" hidden="1" min="20" max="20" width="13.43"/>
    <col customWidth="1" min="21" max="21" width="10.71"/>
    <col customWidth="1" min="22" max="22" width="8.86"/>
    <col customWidth="1" min="23" max="23" width="15.0"/>
    <col customWidth="1" hidden="1" min="24" max="24" width="2.29"/>
    <col customWidth="1" min="25" max="25" width="14.71"/>
    <col customWidth="1" hidden="1" min="26" max="26" width="14.86"/>
    <col customWidth="1" min="27" max="27" width="8.86"/>
    <col customWidth="1" min="28" max="28" width="11.57"/>
  </cols>
  <sheetData>
    <row r="1">
      <c r="A1" s="1" t="s">
        <v>0</v>
      </c>
    </row>
    <row r="3">
      <c r="A3" s="2" t="s">
        <v>50</v>
      </c>
    </row>
    <row r="5">
      <c r="A5" s="3" t="s">
        <v>51</v>
      </c>
    </row>
    <row r="6">
      <c r="A6" s="4" t="s">
        <v>3</v>
      </c>
      <c r="B6" s="5" t="s">
        <v>4</v>
      </c>
      <c r="C6" s="5" t="s">
        <v>5</v>
      </c>
      <c r="D6" s="5" t="s">
        <v>6</v>
      </c>
      <c r="E6" s="4" t="s">
        <v>7</v>
      </c>
      <c r="F6" s="6" t="s">
        <v>8</v>
      </c>
      <c r="G6" s="7"/>
      <c r="H6" s="7"/>
      <c r="I6" s="8"/>
      <c r="J6" s="6" t="s">
        <v>9</v>
      </c>
      <c r="K6" s="7"/>
      <c r="L6" s="7"/>
      <c r="M6" s="7"/>
      <c r="N6" s="8"/>
      <c r="O6" s="6" t="s">
        <v>10</v>
      </c>
      <c r="P6" s="7"/>
      <c r="Q6" s="7"/>
      <c r="R6" s="8"/>
      <c r="S6" s="6" t="s">
        <v>11</v>
      </c>
      <c r="T6" s="7"/>
      <c r="U6" s="7"/>
      <c r="V6" s="8"/>
      <c r="W6" s="6" t="s">
        <v>12</v>
      </c>
      <c r="X6" s="7"/>
      <c r="Y6" s="7"/>
      <c r="Z6" s="7"/>
      <c r="AA6" s="8"/>
    </row>
    <row r="7">
      <c r="A7" s="9"/>
      <c r="B7" s="10"/>
      <c r="C7" s="10"/>
      <c r="D7" s="10"/>
      <c r="E7" s="11"/>
      <c r="F7" s="12" t="s">
        <v>13</v>
      </c>
      <c r="G7" s="12"/>
      <c r="H7" s="12" t="s">
        <v>14</v>
      </c>
      <c r="I7" s="12" t="s">
        <v>15</v>
      </c>
      <c r="J7" s="12" t="s">
        <v>13</v>
      </c>
      <c r="K7" s="12"/>
      <c r="L7" s="12" t="s">
        <v>14</v>
      </c>
      <c r="M7" s="12"/>
      <c r="N7" s="12" t="s">
        <v>15</v>
      </c>
      <c r="O7" s="12" t="s">
        <v>13</v>
      </c>
      <c r="P7" s="12"/>
      <c r="Q7" s="12" t="s">
        <v>14</v>
      </c>
      <c r="R7" s="12" t="s">
        <v>15</v>
      </c>
      <c r="S7" s="12" t="s">
        <v>13</v>
      </c>
      <c r="T7" s="12"/>
      <c r="U7" s="12" t="s">
        <v>14</v>
      </c>
      <c r="V7" s="12" t="s">
        <v>15</v>
      </c>
      <c r="W7" s="12" t="s">
        <v>13</v>
      </c>
      <c r="X7" s="12"/>
      <c r="Y7" s="12" t="s">
        <v>14</v>
      </c>
      <c r="Z7" s="12"/>
      <c r="AA7" s="12" t="s">
        <v>15</v>
      </c>
    </row>
    <row r="8">
      <c r="A8" s="13">
        <v>1.0</v>
      </c>
      <c r="B8" s="14" t="s">
        <v>16</v>
      </c>
      <c r="C8" s="13" t="s">
        <v>17</v>
      </c>
      <c r="D8" s="13">
        <v>70.79</v>
      </c>
      <c r="E8" s="15">
        <v>500.0</v>
      </c>
      <c r="F8" s="16">
        <f t="shared" ref="F8:F22" si="1">W8/2</f>
        <v>646</v>
      </c>
      <c r="G8" s="17">
        <f t="shared" ref="G8:G23" si="2">F8*D8</f>
        <v>45730.34</v>
      </c>
      <c r="H8" s="18"/>
      <c r="I8" s="19"/>
      <c r="J8" s="19">
        <v>646.0</v>
      </c>
      <c r="K8" s="19">
        <f t="shared" ref="K8:K22" si="3">J8*D8</f>
        <v>45730.34</v>
      </c>
      <c r="L8" s="20">
        <v>0.0</v>
      </c>
      <c r="M8" s="66">
        <f t="shared" ref="M8:M22" si="4">L8*D8</f>
        <v>0</v>
      </c>
      <c r="N8" s="21">
        <f t="shared" ref="N8:N24" si="5">L8/J8</f>
        <v>0</v>
      </c>
      <c r="O8" s="19">
        <f t="shared" ref="O8:O22" si="6">W8/2</f>
        <v>646</v>
      </c>
      <c r="P8" s="22">
        <f t="shared" ref="P8:P23" si="7">O8*D8</f>
        <v>45730.34</v>
      </c>
      <c r="Q8" s="18"/>
      <c r="R8" s="18"/>
      <c r="S8" s="18">
        <v>646.0</v>
      </c>
      <c r="T8" s="18">
        <f t="shared" ref="T8:T22" si="8">S8*D8</f>
        <v>45730.34</v>
      </c>
      <c r="U8" s="18"/>
      <c r="V8" s="18"/>
      <c r="W8" s="16">
        <v>1292.0</v>
      </c>
      <c r="X8" s="23">
        <f t="shared" ref="X8:X23" si="9">W8*D8</f>
        <v>91460.68</v>
      </c>
      <c r="Y8" s="18">
        <v>55.0</v>
      </c>
      <c r="Z8" s="19">
        <f t="shared" ref="Z8:Z22" si="10">Y8*D8</f>
        <v>3893.45</v>
      </c>
      <c r="AA8" s="24">
        <f t="shared" ref="AA8:AA24" si="11">Y8/W8</f>
        <v>0.04256965944</v>
      </c>
      <c r="AB8" s="25"/>
    </row>
    <row r="9">
      <c r="A9" s="26">
        <v>2.0</v>
      </c>
      <c r="B9" s="27" t="s">
        <v>18</v>
      </c>
      <c r="C9" s="26" t="s">
        <v>17</v>
      </c>
      <c r="D9" s="26">
        <v>89.37</v>
      </c>
      <c r="E9" s="28">
        <v>500.0</v>
      </c>
      <c r="F9" s="29">
        <f t="shared" si="1"/>
        <v>646</v>
      </c>
      <c r="G9" s="23">
        <f t="shared" si="2"/>
        <v>57733.02</v>
      </c>
      <c r="H9" s="30"/>
      <c r="I9" s="31"/>
      <c r="J9" s="31">
        <v>646.0</v>
      </c>
      <c r="K9" s="19">
        <f t="shared" si="3"/>
        <v>57733.02</v>
      </c>
      <c r="L9" s="22">
        <v>0.0</v>
      </c>
      <c r="M9" s="67">
        <f t="shared" si="4"/>
        <v>0</v>
      </c>
      <c r="N9" s="32">
        <f t="shared" si="5"/>
        <v>0</v>
      </c>
      <c r="O9" s="31">
        <f t="shared" si="6"/>
        <v>646</v>
      </c>
      <c r="P9" s="22">
        <f t="shared" si="7"/>
        <v>57733.02</v>
      </c>
      <c r="Q9" s="30"/>
      <c r="R9" s="30"/>
      <c r="S9" s="30">
        <v>646.0</v>
      </c>
      <c r="T9" s="18">
        <f t="shared" si="8"/>
        <v>57733.02</v>
      </c>
      <c r="U9" s="30"/>
      <c r="V9" s="30"/>
      <c r="W9" s="29">
        <v>1292.0</v>
      </c>
      <c r="X9" s="23">
        <f t="shared" si="9"/>
        <v>115466.04</v>
      </c>
      <c r="Y9" s="30">
        <v>45.0</v>
      </c>
      <c r="Z9" s="19">
        <f t="shared" si="10"/>
        <v>4021.65</v>
      </c>
      <c r="AA9" s="24">
        <f t="shared" si="11"/>
        <v>0.03482972136</v>
      </c>
      <c r="AB9" s="25"/>
    </row>
    <row r="10">
      <c r="A10" s="26">
        <v>3.0</v>
      </c>
      <c r="B10" s="27" t="s">
        <v>19</v>
      </c>
      <c r="C10" s="26" t="s">
        <v>17</v>
      </c>
      <c r="D10" s="26">
        <v>112.5</v>
      </c>
      <c r="E10" s="28">
        <v>800.0</v>
      </c>
      <c r="F10" s="29">
        <f t="shared" si="1"/>
        <v>1033.5</v>
      </c>
      <c r="G10" s="23">
        <f t="shared" si="2"/>
        <v>116268.75</v>
      </c>
      <c r="H10" s="30"/>
      <c r="I10" s="31"/>
      <c r="J10" s="31">
        <v>1033.5</v>
      </c>
      <c r="K10" s="19">
        <f t="shared" si="3"/>
        <v>116268.75</v>
      </c>
      <c r="L10" s="22">
        <v>624.0</v>
      </c>
      <c r="M10" s="67">
        <f t="shared" si="4"/>
        <v>70200</v>
      </c>
      <c r="N10" s="32">
        <f t="shared" si="5"/>
        <v>0.6037735849</v>
      </c>
      <c r="O10" s="31">
        <f t="shared" si="6"/>
        <v>1033.5</v>
      </c>
      <c r="P10" s="22">
        <f t="shared" si="7"/>
        <v>116268.75</v>
      </c>
      <c r="Q10" s="30"/>
      <c r="R10" s="30"/>
      <c r="S10" s="30">
        <v>1033.5</v>
      </c>
      <c r="T10" s="18">
        <f t="shared" si="8"/>
        <v>116268.75</v>
      </c>
      <c r="U10" s="30"/>
      <c r="V10" s="30"/>
      <c r="W10" s="29">
        <v>2067.0</v>
      </c>
      <c r="X10" s="23">
        <f t="shared" si="9"/>
        <v>232537.5</v>
      </c>
      <c r="Y10" s="30">
        <v>944.0</v>
      </c>
      <c r="Z10" s="19">
        <f t="shared" si="10"/>
        <v>106200</v>
      </c>
      <c r="AA10" s="24">
        <f t="shared" si="11"/>
        <v>0.4567005322</v>
      </c>
      <c r="AB10" s="25"/>
    </row>
    <row r="11">
      <c r="A11" s="26">
        <v>4.0</v>
      </c>
      <c r="B11" s="27" t="s">
        <v>20</v>
      </c>
      <c r="C11" s="26" t="s">
        <v>21</v>
      </c>
      <c r="D11" s="26">
        <v>55.23</v>
      </c>
      <c r="E11" s="28">
        <v>200.0</v>
      </c>
      <c r="F11" s="29">
        <f t="shared" si="1"/>
        <v>258.5</v>
      </c>
      <c r="G11" s="23">
        <f t="shared" si="2"/>
        <v>14276.955</v>
      </c>
      <c r="H11" s="30"/>
      <c r="I11" s="31"/>
      <c r="J11" s="31">
        <v>258.5</v>
      </c>
      <c r="K11" s="19">
        <f t="shared" si="3"/>
        <v>14276.955</v>
      </c>
      <c r="L11" s="22">
        <v>0.0</v>
      </c>
      <c r="M11" s="67">
        <f t="shared" si="4"/>
        <v>0</v>
      </c>
      <c r="N11" s="32">
        <f t="shared" si="5"/>
        <v>0</v>
      </c>
      <c r="O11" s="31">
        <f t="shared" si="6"/>
        <v>258.5</v>
      </c>
      <c r="P11" s="22">
        <f t="shared" si="7"/>
        <v>14276.955</v>
      </c>
      <c r="Q11" s="30"/>
      <c r="R11" s="30"/>
      <c r="S11" s="30">
        <v>258.5</v>
      </c>
      <c r="T11" s="18">
        <f t="shared" si="8"/>
        <v>14276.955</v>
      </c>
      <c r="U11" s="30"/>
      <c r="V11" s="30"/>
      <c r="W11" s="29">
        <v>517.0</v>
      </c>
      <c r="X11" s="23">
        <f t="shared" si="9"/>
        <v>28553.91</v>
      </c>
      <c r="Y11" s="30">
        <v>0.0</v>
      </c>
      <c r="Z11" s="19">
        <f t="shared" si="10"/>
        <v>0</v>
      </c>
      <c r="AA11" s="24">
        <f t="shared" si="11"/>
        <v>0</v>
      </c>
      <c r="AB11" s="25"/>
    </row>
    <row r="12">
      <c r="A12" s="26">
        <v>5.0</v>
      </c>
      <c r="B12" s="27" t="s">
        <v>22</v>
      </c>
      <c r="C12" s="26" t="s">
        <v>23</v>
      </c>
      <c r="D12" s="26">
        <v>192.63</v>
      </c>
      <c r="E12" s="28">
        <v>192.0</v>
      </c>
      <c r="F12" s="29">
        <f t="shared" si="1"/>
        <v>248</v>
      </c>
      <c r="G12" s="23">
        <f t="shared" si="2"/>
        <v>47772.24</v>
      </c>
      <c r="H12" s="30"/>
      <c r="I12" s="31"/>
      <c r="J12" s="31">
        <v>248.0</v>
      </c>
      <c r="K12" s="19">
        <f t="shared" si="3"/>
        <v>47772.24</v>
      </c>
      <c r="L12" s="22">
        <v>1.0</v>
      </c>
      <c r="M12" s="67">
        <f t="shared" si="4"/>
        <v>192.63</v>
      </c>
      <c r="N12" s="32">
        <f t="shared" si="5"/>
        <v>0.004032258065</v>
      </c>
      <c r="O12" s="31">
        <f t="shared" si="6"/>
        <v>248</v>
      </c>
      <c r="P12" s="22">
        <f t="shared" si="7"/>
        <v>47772.24</v>
      </c>
      <c r="Q12" s="30"/>
      <c r="R12" s="30"/>
      <c r="S12" s="30">
        <v>248.0</v>
      </c>
      <c r="T12" s="18">
        <f t="shared" si="8"/>
        <v>47772.24</v>
      </c>
      <c r="U12" s="30"/>
      <c r="V12" s="30"/>
      <c r="W12" s="29">
        <v>496.0</v>
      </c>
      <c r="X12" s="23">
        <f t="shared" si="9"/>
        <v>95544.48</v>
      </c>
      <c r="Y12" s="30">
        <v>9.0</v>
      </c>
      <c r="Z12" s="19">
        <f t="shared" si="10"/>
        <v>1733.67</v>
      </c>
      <c r="AA12" s="24">
        <f t="shared" si="11"/>
        <v>0.01814516129</v>
      </c>
      <c r="AB12" s="25"/>
    </row>
    <row r="13">
      <c r="A13" s="26">
        <v>6.0</v>
      </c>
      <c r="B13" s="27" t="s">
        <v>24</v>
      </c>
      <c r="C13" s="26" t="s">
        <v>23</v>
      </c>
      <c r="D13" s="26">
        <v>195.0</v>
      </c>
      <c r="E13" s="28">
        <v>30.0</v>
      </c>
      <c r="F13" s="29">
        <f t="shared" si="1"/>
        <v>39</v>
      </c>
      <c r="G13" s="23">
        <f t="shared" si="2"/>
        <v>7605</v>
      </c>
      <c r="H13" s="30"/>
      <c r="I13" s="31"/>
      <c r="J13" s="31">
        <v>39.0</v>
      </c>
      <c r="K13" s="19">
        <f t="shared" si="3"/>
        <v>7605</v>
      </c>
      <c r="L13" s="22">
        <v>0.0</v>
      </c>
      <c r="M13" s="67">
        <f t="shared" si="4"/>
        <v>0</v>
      </c>
      <c r="N13" s="32">
        <f t="shared" si="5"/>
        <v>0</v>
      </c>
      <c r="O13" s="31">
        <f t="shared" si="6"/>
        <v>39</v>
      </c>
      <c r="P13" s="22">
        <f t="shared" si="7"/>
        <v>7605</v>
      </c>
      <c r="Q13" s="30"/>
      <c r="R13" s="30"/>
      <c r="S13" s="30">
        <v>39.0</v>
      </c>
      <c r="T13" s="18">
        <f t="shared" si="8"/>
        <v>7605</v>
      </c>
      <c r="U13" s="30"/>
      <c r="V13" s="30"/>
      <c r="W13" s="29">
        <v>78.0</v>
      </c>
      <c r="X13" s="23">
        <f t="shared" si="9"/>
        <v>15210</v>
      </c>
      <c r="Y13" s="30">
        <v>0.0</v>
      </c>
      <c r="Z13" s="19">
        <f t="shared" si="10"/>
        <v>0</v>
      </c>
      <c r="AA13" s="24">
        <f t="shared" si="11"/>
        <v>0</v>
      </c>
      <c r="AB13" s="25"/>
    </row>
    <row r="14">
      <c r="A14" s="26">
        <v>7.0</v>
      </c>
      <c r="B14" s="27" t="s">
        <v>25</v>
      </c>
      <c r="C14" s="26" t="s">
        <v>23</v>
      </c>
      <c r="D14" s="26">
        <v>648.52</v>
      </c>
      <c r="E14" s="28">
        <v>30.0</v>
      </c>
      <c r="F14" s="29">
        <f t="shared" si="1"/>
        <v>39</v>
      </c>
      <c r="G14" s="23">
        <f t="shared" si="2"/>
        <v>25292.28</v>
      </c>
      <c r="H14" s="30"/>
      <c r="I14" s="31"/>
      <c r="J14" s="31">
        <v>39.0</v>
      </c>
      <c r="K14" s="19">
        <f t="shared" si="3"/>
        <v>25292.28</v>
      </c>
      <c r="L14" s="22">
        <v>0.0</v>
      </c>
      <c r="M14" s="67">
        <f t="shared" si="4"/>
        <v>0</v>
      </c>
      <c r="N14" s="32">
        <f t="shared" si="5"/>
        <v>0</v>
      </c>
      <c r="O14" s="31">
        <f t="shared" si="6"/>
        <v>39</v>
      </c>
      <c r="P14" s="22">
        <f t="shared" si="7"/>
        <v>25292.28</v>
      </c>
      <c r="Q14" s="30"/>
      <c r="R14" s="30"/>
      <c r="S14" s="30">
        <v>39.0</v>
      </c>
      <c r="T14" s="18">
        <f t="shared" si="8"/>
        <v>25292.28</v>
      </c>
      <c r="U14" s="30"/>
      <c r="V14" s="30"/>
      <c r="W14" s="29">
        <v>78.0</v>
      </c>
      <c r="X14" s="23">
        <f t="shared" si="9"/>
        <v>50584.56</v>
      </c>
      <c r="Y14" s="30">
        <v>0.0</v>
      </c>
      <c r="Z14" s="19">
        <f t="shared" si="10"/>
        <v>0</v>
      </c>
      <c r="AA14" s="24">
        <f t="shared" si="11"/>
        <v>0</v>
      </c>
      <c r="AB14" s="25"/>
    </row>
    <row r="15">
      <c r="A15" s="26">
        <v>8.0</v>
      </c>
      <c r="B15" s="27" t="s">
        <v>26</v>
      </c>
      <c r="C15" s="26" t="s">
        <v>21</v>
      </c>
      <c r="D15" s="26">
        <v>51.0</v>
      </c>
      <c r="E15" s="28">
        <v>300.0</v>
      </c>
      <c r="F15" s="29">
        <f t="shared" si="1"/>
        <v>387.5</v>
      </c>
      <c r="G15" s="23">
        <f t="shared" si="2"/>
        <v>19762.5</v>
      </c>
      <c r="H15" s="30"/>
      <c r="I15" s="31"/>
      <c r="J15" s="31">
        <v>387.5</v>
      </c>
      <c r="K15" s="19">
        <f t="shared" si="3"/>
        <v>19762.5</v>
      </c>
      <c r="L15" s="22">
        <v>12.0</v>
      </c>
      <c r="M15" s="67">
        <f t="shared" si="4"/>
        <v>612</v>
      </c>
      <c r="N15" s="32">
        <f t="shared" si="5"/>
        <v>0.03096774194</v>
      </c>
      <c r="O15" s="31">
        <f t="shared" si="6"/>
        <v>387.5</v>
      </c>
      <c r="P15" s="22">
        <f t="shared" si="7"/>
        <v>19762.5</v>
      </c>
      <c r="Q15" s="30"/>
      <c r="R15" s="30"/>
      <c r="S15" s="30">
        <v>387.5</v>
      </c>
      <c r="T15" s="18">
        <f t="shared" si="8"/>
        <v>19762.5</v>
      </c>
      <c r="U15" s="30"/>
      <c r="V15" s="30"/>
      <c r="W15" s="29">
        <v>775.0</v>
      </c>
      <c r="X15" s="23">
        <f t="shared" si="9"/>
        <v>39525</v>
      </c>
      <c r="Y15" s="30">
        <v>15.0</v>
      </c>
      <c r="Z15" s="19">
        <f t="shared" si="10"/>
        <v>765</v>
      </c>
      <c r="AA15" s="24">
        <f t="shared" si="11"/>
        <v>0.01935483871</v>
      </c>
      <c r="AB15" s="25"/>
    </row>
    <row r="16">
      <c r="A16" s="26">
        <v>9.0</v>
      </c>
      <c r="B16" s="27" t="s">
        <v>27</v>
      </c>
      <c r="C16" s="26" t="s">
        <v>28</v>
      </c>
      <c r="D16" s="26">
        <v>189.25</v>
      </c>
      <c r="E16" s="28">
        <v>560.0</v>
      </c>
      <c r="F16" s="29">
        <f t="shared" si="1"/>
        <v>723.5</v>
      </c>
      <c r="G16" s="23">
        <f t="shared" si="2"/>
        <v>136922.375</v>
      </c>
      <c r="H16" s="30"/>
      <c r="I16" s="31"/>
      <c r="J16" s="31">
        <v>723.5</v>
      </c>
      <c r="K16" s="19">
        <f t="shared" si="3"/>
        <v>136922.375</v>
      </c>
      <c r="L16" s="22">
        <v>8.0</v>
      </c>
      <c r="M16" s="67">
        <f t="shared" si="4"/>
        <v>1514</v>
      </c>
      <c r="N16" s="32">
        <f t="shared" si="5"/>
        <v>0.01105736006</v>
      </c>
      <c r="O16" s="31">
        <f t="shared" si="6"/>
        <v>723.5</v>
      </c>
      <c r="P16" s="22">
        <f t="shared" si="7"/>
        <v>136922.375</v>
      </c>
      <c r="Q16" s="30"/>
      <c r="R16" s="30"/>
      <c r="S16" s="30">
        <v>723.5</v>
      </c>
      <c r="T16" s="18">
        <f t="shared" si="8"/>
        <v>136922.375</v>
      </c>
      <c r="U16" s="30"/>
      <c r="V16" s="30"/>
      <c r="W16" s="29">
        <v>1447.0</v>
      </c>
      <c r="X16" s="23">
        <f t="shared" si="9"/>
        <v>273844.75</v>
      </c>
      <c r="Y16" s="30">
        <v>23.0</v>
      </c>
      <c r="Z16" s="19">
        <f t="shared" si="10"/>
        <v>4352.75</v>
      </c>
      <c r="AA16" s="24">
        <f t="shared" si="11"/>
        <v>0.01589495508</v>
      </c>
      <c r="AB16" s="25"/>
    </row>
    <row r="17">
      <c r="A17" s="26">
        <v>10.0</v>
      </c>
      <c r="B17" s="27" t="s">
        <v>29</v>
      </c>
      <c r="C17" s="26" t="s">
        <v>30</v>
      </c>
      <c r="D17" s="26">
        <v>128.86</v>
      </c>
      <c r="E17" s="28">
        <v>550.0</v>
      </c>
      <c r="F17" s="29">
        <f t="shared" si="1"/>
        <v>710.5</v>
      </c>
      <c r="G17" s="23">
        <f t="shared" si="2"/>
        <v>91555.03</v>
      </c>
      <c r="H17" s="30"/>
      <c r="I17" s="31"/>
      <c r="J17" s="31">
        <v>710.5</v>
      </c>
      <c r="K17" s="19">
        <f t="shared" si="3"/>
        <v>91555.03</v>
      </c>
      <c r="L17" s="22">
        <v>0.0</v>
      </c>
      <c r="M17" s="67">
        <f t="shared" si="4"/>
        <v>0</v>
      </c>
      <c r="N17" s="32">
        <f t="shared" si="5"/>
        <v>0</v>
      </c>
      <c r="O17" s="31">
        <f t="shared" si="6"/>
        <v>710.5</v>
      </c>
      <c r="P17" s="22">
        <f t="shared" si="7"/>
        <v>91555.03</v>
      </c>
      <c r="Q17" s="30"/>
      <c r="R17" s="30"/>
      <c r="S17" s="30">
        <v>710.5</v>
      </c>
      <c r="T17" s="18">
        <f t="shared" si="8"/>
        <v>91555.03</v>
      </c>
      <c r="U17" s="30"/>
      <c r="V17" s="30"/>
      <c r="W17" s="29">
        <v>1421.0</v>
      </c>
      <c r="X17" s="23">
        <f t="shared" si="9"/>
        <v>183110.06</v>
      </c>
      <c r="Y17" s="30">
        <v>0.0</v>
      </c>
      <c r="Z17" s="19">
        <f t="shared" si="10"/>
        <v>0</v>
      </c>
      <c r="AA17" s="24">
        <f t="shared" si="11"/>
        <v>0</v>
      </c>
      <c r="AB17" s="25"/>
    </row>
    <row r="18">
      <c r="A18" s="26">
        <v>11.0</v>
      </c>
      <c r="B18" s="27" t="s">
        <v>31</v>
      </c>
      <c r="C18" s="26" t="s">
        <v>32</v>
      </c>
      <c r="D18" s="26">
        <v>94.9</v>
      </c>
      <c r="E18" s="28">
        <v>650.0</v>
      </c>
      <c r="F18" s="29">
        <f t="shared" si="1"/>
        <v>839.5</v>
      </c>
      <c r="G18" s="23">
        <f t="shared" si="2"/>
        <v>79668.55</v>
      </c>
      <c r="H18" s="30"/>
      <c r="I18" s="31"/>
      <c r="J18" s="31">
        <v>839.5</v>
      </c>
      <c r="K18" s="19">
        <f t="shared" si="3"/>
        <v>79668.55</v>
      </c>
      <c r="L18" s="22">
        <v>49.0</v>
      </c>
      <c r="M18" s="67">
        <f t="shared" si="4"/>
        <v>4650.1</v>
      </c>
      <c r="N18" s="32">
        <f t="shared" si="5"/>
        <v>0.05836807624</v>
      </c>
      <c r="O18" s="31">
        <f t="shared" si="6"/>
        <v>839.5</v>
      </c>
      <c r="P18" s="22">
        <f t="shared" si="7"/>
        <v>79668.55</v>
      </c>
      <c r="Q18" s="30"/>
      <c r="R18" s="30"/>
      <c r="S18" s="30">
        <v>839.5</v>
      </c>
      <c r="T18" s="18">
        <f t="shared" si="8"/>
        <v>79668.55</v>
      </c>
      <c r="U18" s="30"/>
      <c r="V18" s="30"/>
      <c r="W18" s="29">
        <v>1679.0</v>
      </c>
      <c r="X18" s="23">
        <f t="shared" si="9"/>
        <v>159337.1</v>
      </c>
      <c r="Y18" s="30">
        <v>112.0</v>
      </c>
      <c r="Z18" s="19">
        <f t="shared" si="10"/>
        <v>10628.8</v>
      </c>
      <c r="AA18" s="24">
        <f t="shared" si="11"/>
        <v>0.06670637284</v>
      </c>
      <c r="AB18" s="25"/>
    </row>
    <row r="19">
      <c r="A19" s="26">
        <v>12.0</v>
      </c>
      <c r="B19" s="27" t="s">
        <v>33</v>
      </c>
      <c r="C19" s="26" t="s">
        <v>34</v>
      </c>
      <c r="D19" s="26">
        <v>85.33</v>
      </c>
      <c r="E19" s="28">
        <v>550.0</v>
      </c>
      <c r="F19" s="29">
        <f t="shared" si="1"/>
        <v>710.5</v>
      </c>
      <c r="G19" s="23">
        <f t="shared" si="2"/>
        <v>60626.965</v>
      </c>
      <c r="H19" s="30"/>
      <c r="I19" s="31"/>
      <c r="J19" s="31">
        <v>710.5</v>
      </c>
      <c r="K19" s="19">
        <f t="shared" si="3"/>
        <v>60626.965</v>
      </c>
      <c r="L19" s="22">
        <v>400.0</v>
      </c>
      <c r="M19" s="67">
        <f t="shared" si="4"/>
        <v>34132</v>
      </c>
      <c r="N19" s="32">
        <f t="shared" si="5"/>
        <v>0.5629838142</v>
      </c>
      <c r="O19" s="31">
        <f t="shared" si="6"/>
        <v>710.5</v>
      </c>
      <c r="P19" s="22">
        <f t="shared" si="7"/>
        <v>60626.965</v>
      </c>
      <c r="Q19" s="30"/>
      <c r="R19" s="30"/>
      <c r="S19" s="30">
        <v>710.5</v>
      </c>
      <c r="T19" s="18">
        <f t="shared" si="8"/>
        <v>60626.965</v>
      </c>
      <c r="U19" s="30"/>
      <c r="V19" s="30"/>
      <c r="W19" s="29">
        <v>1421.0</v>
      </c>
      <c r="X19" s="23">
        <f t="shared" si="9"/>
        <v>121253.93</v>
      </c>
      <c r="Y19" s="30">
        <v>388.0</v>
      </c>
      <c r="Z19" s="19">
        <f t="shared" si="10"/>
        <v>33108.04</v>
      </c>
      <c r="AA19" s="24">
        <f t="shared" si="11"/>
        <v>0.2730471499</v>
      </c>
      <c r="AB19" s="25"/>
    </row>
    <row r="20">
      <c r="A20" s="26">
        <v>13.0</v>
      </c>
      <c r="B20" s="27" t="s">
        <v>35</v>
      </c>
      <c r="C20" s="26" t="s">
        <v>34</v>
      </c>
      <c r="D20" s="26">
        <v>64.65</v>
      </c>
      <c r="E20" s="28">
        <v>200.0</v>
      </c>
      <c r="F20" s="29">
        <f t="shared" si="1"/>
        <v>258.5</v>
      </c>
      <c r="G20" s="23">
        <f t="shared" si="2"/>
        <v>16712.025</v>
      </c>
      <c r="H20" s="30"/>
      <c r="I20" s="31"/>
      <c r="J20" s="31">
        <v>258.5</v>
      </c>
      <c r="K20" s="19">
        <f t="shared" si="3"/>
        <v>16712.025</v>
      </c>
      <c r="L20" s="22">
        <v>0.0</v>
      </c>
      <c r="M20" s="67">
        <f t="shared" si="4"/>
        <v>0</v>
      </c>
      <c r="N20" s="32">
        <f t="shared" si="5"/>
        <v>0</v>
      </c>
      <c r="O20" s="31">
        <f t="shared" si="6"/>
        <v>258.5</v>
      </c>
      <c r="P20" s="22">
        <f t="shared" si="7"/>
        <v>16712.025</v>
      </c>
      <c r="Q20" s="30"/>
      <c r="R20" s="30"/>
      <c r="S20" s="30">
        <v>258.5</v>
      </c>
      <c r="T20" s="18">
        <f t="shared" si="8"/>
        <v>16712.025</v>
      </c>
      <c r="U20" s="30"/>
      <c r="V20" s="30"/>
      <c r="W20" s="29">
        <v>517.0</v>
      </c>
      <c r="X20" s="23">
        <f t="shared" si="9"/>
        <v>33424.05</v>
      </c>
      <c r="Y20" s="30">
        <v>0.0</v>
      </c>
      <c r="Z20" s="19">
        <f t="shared" si="10"/>
        <v>0</v>
      </c>
      <c r="AA20" s="24">
        <f t="shared" si="11"/>
        <v>0</v>
      </c>
      <c r="AB20" s="25"/>
    </row>
    <row r="21" ht="15.75" customHeight="1">
      <c r="A21" s="26">
        <v>14.0</v>
      </c>
      <c r="B21" s="27" t="s">
        <v>36</v>
      </c>
      <c r="C21" s="26" t="s">
        <v>28</v>
      </c>
      <c r="D21" s="26">
        <v>99.39</v>
      </c>
      <c r="E21" s="28">
        <v>150.0</v>
      </c>
      <c r="F21" s="29">
        <f t="shared" si="1"/>
        <v>194</v>
      </c>
      <c r="G21" s="23">
        <f t="shared" si="2"/>
        <v>19281.66</v>
      </c>
      <c r="H21" s="30"/>
      <c r="I21" s="31"/>
      <c r="J21" s="31">
        <v>194.0</v>
      </c>
      <c r="K21" s="19">
        <f t="shared" si="3"/>
        <v>19281.66</v>
      </c>
      <c r="L21" s="22">
        <v>0.0</v>
      </c>
      <c r="M21" s="67">
        <f t="shared" si="4"/>
        <v>0</v>
      </c>
      <c r="N21" s="32">
        <f t="shared" si="5"/>
        <v>0</v>
      </c>
      <c r="O21" s="31">
        <f t="shared" si="6"/>
        <v>194</v>
      </c>
      <c r="P21" s="22">
        <f t="shared" si="7"/>
        <v>19281.66</v>
      </c>
      <c r="Q21" s="30"/>
      <c r="R21" s="30"/>
      <c r="S21" s="30">
        <v>194.0</v>
      </c>
      <c r="T21" s="18">
        <f t="shared" si="8"/>
        <v>19281.66</v>
      </c>
      <c r="U21" s="30"/>
      <c r="V21" s="30"/>
      <c r="W21" s="29">
        <v>388.0</v>
      </c>
      <c r="X21" s="23">
        <f t="shared" si="9"/>
        <v>38563.32</v>
      </c>
      <c r="Y21" s="30">
        <v>0.0</v>
      </c>
      <c r="Z21" s="19">
        <f t="shared" si="10"/>
        <v>0</v>
      </c>
      <c r="AA21" s="24">
        <f t="shared" si="11"/>
        <v>0</v>
      </c>
      <c r="AB21" s="25"/>
    </row>
    <row r="22" ht="15.75" customHeight="1">
      <c r="A22" s="33">
        <v>15.0</v>
      </c>
      <c r="B22" s="34" t="s">
        <v>37</v>
      </c>
      <c r="C22" s="33" t="s">
        <v>21</v>
      </c>
      <c r="D22" s="33">
        <v>89.64</v>
      </c>
      <c r="E22" s="35">
        <v>300.0</v>
      </c>
      <c r="F22" s="36">
        <f t="shared" si="1"/>
        <v>387.5</v>
      </c>
      <c r="G22" s="37">
        <f t="shared" si="2"/>
        <v>34735.5</v>
      </c>
      <c r="H22" s="38"/>
      <c r="I22" s="39"/>
      <c r="J22" s="39">
        <v>387.5</v>
      </c>
      <c r="K22" s="19">
        <f t="shared" si="3"/>
        <v>34735.5</v>
      </c>
      <c r="L22" s="91">
        <v>18.0</v>
      </c>
      <c r="M22" s="67">
        <f t="shared" si="4"/>
        <v>1613.52</v>
      </c>
      <c r="N22" s="32">
        <f t="shared" si="5"/>
        <v>0.0464516129</v>
      </c>
      <c r="O22" s="39">
        <f t="shared" si="6"/>
        <v>387.5</v>
      </c>
      <c r="P22" s="22">
        <f t="shared" si="7"/>
        <v>34735.5</v>
      </c>
      <c r="Q22" s="38"/>
      <c r="R22" s="38"/>
      <c r="S22" s="38">
        <v>387.5</v>
      </c>
      <c r="T22" s="18">
        <f t="shared" si="8"/>
        <v>34735.5</v>
      </c>
      <c r="U22" s="38"/>
      <c r="V22" s="38"/>
      <c r="W22" s="36">
        <v>775.0</v>
      </c>
      <c r="X22" s="23">
        <f t="shared" si="9"/>
        <v>69471</v>
      </c>
      <c r="Y22" s="38">
        <v>55.0</v>
      </c>
      <c r="Z22" s="19">
        <f t="shared" si="10"/>
        <v>4930.2</v>
      </c>
      <c r="AA22" s="24">
        <f t="shared" si="11"/>
        <v>0.07096774194</v>
      </c>
      <c r="AB22" s="25"/>
    </row>
    <row r="23" ht="15.75" customHeight="1">
      <c r="A23" s="41" t="s">
        <v>38</v>
      </c>
      <c r="B23" s="7"/>
      <c r="C23" s="8"/>
      <c r="D23" s="42"/>
      <c r="E23" s="43"/>
      <c r="F23" s="44">
        <f>SUM(F8:F22)</f>
        <v>7121.5</v>
      </c>
      <c r="G23" s="45">
        <f t="shared" si="2"/>
        <v>0</v>
      </c>
      <c r="H23" s="46"/>
      <c r="I23" s="46"/>
      <c r="J23" s="92">
        <f t="shared" ref="J23:M23" si="12">SUM(J8:J22)</f>
        <v>7121.5</v>
      </c>
      <c r="K23" s="92">
        <f t="shared" si="12"/>
        <v>773943.19</v>
      </c>
      <c r="L23" s="93">
        <f t="shared" si="12"/>
        <v>1112</v>
      </c>
      <c r="M23" s="94">
        <f t="shared" si="12"/>
        <v>112914.25</v>
      </c>
      <c r="N23" s="95">
        <f t="shared" si="5"/>
        <v>0.1561468792</v>
      </c>
      <c r="O23" s="84">
        <f>SUM(O8:O22)</f>
        <v>7121.5</v>
      </c>
      <c r="P23" s="50">
        <f t="shared" si="7"/>
        <v>0</v>
      </c>
      <c r="Q23" s="46"/>
      <c r="R23" s="46"/>
      <c r="S23" s="47">
        <f t="shared" ref="S23:T23" si="13">SUM(S8:S22)</f>
        <v>7121.5</v>
      </c>
      <c r="T23" s="47">
        <f t="shared" si="13"/>
        <v>773943.19</v>
      </c>
      <c r="U23" s="47"/>
      <c r="V23" s="47"/>
      <c r="W23" s="51">
        <f>SUM(W8:W22)</f>
        <v>14243</v>
      </c>
      <c r="X23" s="52">
        <f t="shared" si="9"/>
        <v>0</v>
      </c>
      <c r="Y23" s="46">
        <f>SUM(Y8:Y22)</f>
        <v>1646</v>
      </c>
      <c r="Z23" s="19"/>
      <c r="AA23" s="24">
        <f t="shared" si="11"/>
        <v>0.115565541</v>
      </c>
    </row>
    <row r="24" ht="15.75" customHeight="1">
      <c r="A24" s="41" t="s">
        <v>39</v>
      </c>
      <c r="B24" s="7"/>
      <c r="C24" s="8"/>
      <c r="D24" s="53"/>
      <c r="E24" s="54">
        <f>SUM(E8:E23)</f>
        <v>5512</v>
      </c>
      <c r="F24" s="55">
        <f>G24</f>
        <v>773943.19</v>
      </c>
      <c r="G24" s="55">
        <f>SUM(G8:G23)</f>
        <v>773943.19</v>
      </c>
      <c r="H24" s="55"/>
      <c r="I24" s="55"/>
      <c r="J24" s="55">
        <f>K23</f>
        <v>773943.19</v>
      </c>
      <c r="K24" s="55"/>
      <c r="L24" s="55">
        <f>M23</f>
        <v>112914.25</v>
      </c>
      <c r="M24" s="54"/>
      <c r="N24" s="85">
        <f t="shared" si="5"/>
        <v>0.1458947523</v>
      </c>
      <c r="O24" s="86">
        <f>P24</f>
        <v>773943.19</v>
      </c>
      <c r="P24" s="55">
        <f>SUM(P8:P23)</f>
        <v>773943.19</v>
      </c>
      <c r="Q24" s="55"/>
      <c r="R24" s="55"/>
      <c r="S24" s="55">
        <f>T23</f>
        <v>773943.19</v>
      </c>
      <c r="T24" s="55"/>
      <c r="U24" s="55"/>
      <c r="V24" s="55"/>
      <c r="W24" s="55">
        <f>X24</f>
        <v>1547886.38</v>
      </c>
      <c r="X24" s="55">
        <f>SUM(X8:X23)</f>
        <v>1547886.38</v>
      </c>
      <c r="Y24" s="55"/>
      <c r="Z24" s="86"/>
      <c r="AA24" s="61">
        <f t="shared" si="11"/>
        <v>0</v>
      </c>
      <c r="AB24" s="58"/>
    </row>
    <row r="25" ht="15.75" customHeight="1">
      <c r="B25" s="62"/>
      <c r="C25" s="62"/>
      <c r="D25" s="62"/>
      <c r="E25" s="62"/>
      <c r="F25" s="63"/>
      <c r="G25" s="62"/>
      <c r="H25" s="62"/>
      <c r="I25" s="62"/>
      <c r="J25" s="62"/>
      <c r="K25" s="62"/>
      <c r="L25" s="62"/>
      <c r="M25" s="62"/>
      <c r="N25" s="62"/>
      <c r="O25" s="64"/>
    </row>
    <row r="26" ht="15.75" customHeight="1">
      <c r="B26" s="65"/>
      <c r="D26" s="42"/>
      <c r="E26" s="42"/>
    </row>
    <row r="27" ht="15.75" customHeight="1">
      <c r="D27" s="42"/>
      <c r="E27" s="42"/>
    </row>
    <row r="28" ht="15.75" customHeight="1">
      <c r="D28" s="42"/>
      <c r="E28" s="42"/>
    </row>
    <row r="29" ht="15.75" customHeight="1">
      <c r="D29" s="42"/>
      <c r="E29" s="42"/>
    </row>
    <row r="30" ht="15.75" customHeight="1">
      <c r="D30" s="42"/>
      <c r="E30" s="42"/>
    </row>
    <row r="31" ht="15.75" customHeight="1">
      <c r="D31" s="42"/>
      <c r="E31" s="42"/>
    </row>
    <row r="32" ht="15.75" customHeight="1">
      <c r="D32" s="42"/>
      <c r="E32" s="42"/>
    </row>
    <row r="33" ht="15.75" customHeight="1">
      <c r="D33" s="42"/>
      <c r="E33" s="42"/>
    </row>
    <row r="34" ht="15.75" customHeight="1">
      <c r="D34" s="42"/>
      <c r="E34" s="42"/>
    </row>
    <row r="35" ht="15.75" customHeight="1">
      <c r="D35" s="42"/>
      <c r="E35" s="42"/>
    </row>
    <row r="36" ht="15.75" customHeight="1">
      <c r="D36" s="42"/>
      <c r="E36" s="42"/>
    </row>
    <row r="37" ht="15.75" customHeight="1">
      <c r="D37" s="42"/>
      <c r="E37" s="42"/>
    </row>
    <row r="38" ht="15.75" customHeight="1">
      <c r="D38" s="42"/>
      <c r="E38" s="42"/>
    </row>
    <row r="39" ht="15.75" customHeight="1">
      <c r="D39" s="42"/>
      <c r="E39" s="42"/>
    </row>
    <row r="40" ht="15.75" customHeight="1">
      <c r="D40" s="42"/>
      <c r="E40" s="42"/>
    </row>
    <row r="41" ht="15.75" customHeight="1">
      <c r="D41" s="42"/>
      <c r="E41" s="42"/>
    </row>
    <row r="42" ht="15.75" customHeight="1">
      <c r="D42" s="42"/>
      <c r="E42" s="42"/>
    </row>
    <row r="43" ht="15.75" customHeight="1">
      <c r="D43" s="42"/>
      <c r="E43" s="42"/>
    </row>
    <row r="44" ht="15.75" customHeight="1">
      <c r="D44" s="42"/>
      <c r="E44" s="42"/>
    </row>
    <row r="45" ht="15.75" customHeight="1">
      <c r="D45" s="42"/>
      <c r="E45" s="42"/>
    </row>
    <row r="46" ht="15.75" customHeight="1">
      <c r="D46" s="42"/>
      <c r="E46" s="42"/>
    </row>
    <row r="47" ht="15.75" customHeight="1">
      <c r="D47" s="42"/>
      <c r="E47" s="42"/>
    </row>
    <row r="48" ht="15.75" customHeight="1">
      <c r="D48" s="42"/>
      <c r="E48" s="42"/>
    </row>
    <row r="49" ht="15.75" customHeight="1">
      <c r="D49" s="42"/>
      <c r="E49" s="42"/>
    </row>
    <row r="50" ht="15.75" customHeight="1">
      <c r="D50" s="42"/>
      <c r="E50" s="42"/>
    </row>
    <row r="51" ht="15.75" customHeight="1">
      <c r="D51" s="42"/>
      <c r="E51" s="42"/>
    </row>
    <row r="52" ht="15.75" customHeight="1">
      <c r="D52" s="42"/>
      <c r="E52" s="42"/>
    </row>
    <row r="53" ht="15.75" customHeight="1">
      <c r="D53" s="42"/>
      <c r="E53" s="42"/>
    </row>
    <row r="54" ht="15.75" customHeight="1">
      <c r="D54" s="42"/>
      <c r="E54" s="42"/>
    </row>
    <row r="55" ht="15.75" customHeight="1">
      <c r="D55" s="42"/>
      <c r="E55" s="42"/>
    </row>
    <row r="56" ht="15.75" customHeight="1">
      <c r="D56" s="42"/>
      <c r="E56" s="42"/>
    </row>
    <row r="57" ht="15.75" customHeight="1">
      <c r="D57" s="42"/>
      <c r="E57" s="42"/>
    </row>
    <row r="58" ht="15.75" customHeight="1">
      <c r="D58" s="42"/>
      <c r="E58" s="42"/>
    </row>
    <row r="59" ht="15.75" customHeight="1">
      <c r="D59" s="42"/>
      <c r="E59" s="42"/>
    </row>
    <row r="60" ht="15.75" customHeight="1">
      <c r="D60" s="42"/>
      <c r="E60" s="42"/>
    </row>
    <row r="61" ht="15.75" customHeight="1">
      <c r="D61" s="42"/>
      <c r="E61" s="42"/>
    </row>
    <row r="62" ht="15.75" customHeight="1">
      <c r="D62" s="42"/>
      <c r="E62" s="42"/>
    </row>
    <row r="63" ht="15.75" customHeight="1">
      <c r="D63" s="42"/>
      <c r="E63" s="42"/>
    </row>
    <row r="64" ht="15.75" customHeight="1">
      <c r="D64" s="42"/>
      <c r="E64" s="42"/>
    </row>
    <row r="65" ht="15.75" customHeight="1">
      <c r="D65" s="42"/>
      <c r="E65" s="42"/>
    </row>
    <row r="66" ht="15.75" customHeight="1">
      <c r="D66" s="42"/>
      <c r="E66" s="42"/>
    </row>
    <row r="67" ht="15.75" customHeight="1">
      <c r="D67" s="42"/>
      <c r="E67" s="42"/>
    </row>
    <row r="68" ht="15.75" customHeight="1">
      <c r="D68" s="42"/>
      <c r="E68" s="42"/>
    </row>
    <row r="69" ht="15.75" customHeight="1">
      <c r="D69" s="42"/>
      <c r="E69" s="42"/>
    </row>
    <row r="70" ht="15.75" customHeight="1">
      <c r="D70" s="42"/>
      <c r="E70" s="42"/>
    </row>
    <row r="71" ht="15.75" customHeight="1">
      <c r="D71" s="42"/>
      <c r="E71" s="42"/>
    </row>
    <row r="72" ht="15.75" customHeight="1">
      <c r="D72" s="42"/>
      <c r="E72" s="42"/>
    </row>
    <row r="73" ht="15.75" customHeight="1">
      <c r="D73" s="42"/>
      <c r="E73" s="42"/>
    </row>
    <row r="74" ht="15.75" customHeight="1">
      <c r="D74" s="42"/>
      <c r="E74" s="42"/>
    </row>
    <row r="75" ht="15.75" customHeight="1">
      <c r="D75" s="42"/>
      <c r="E75" s="42"/>
    </row>
    <row r="76" ht="15.75" customHeight="1">
      <c r="D76" s="42"/>
      <c r="E76" s="42"/>
    </row>
    <row r="77" ht="15.75" customHeight="1">
      <c r="D77" s="42"/>
      <c r="E77" s="42"/>
    </row>
    <row r="78" ht="15.75" customHeight="1">
      <c r="D78" s="42"/>
      <c r="E78" s="42"/>
    </row>
    <row r="79" ht="15.75" customHeight="1">
      <c r="D79" s="42"/>
      <c r="E79" s="42"/>
    </row>
    <row r="80" ht="15.75" customHeight="1">
      <c r="D80" s="42"/>
      <c r="E80" s="42"/>
    </row>
    <row r="81" ht="15.75" customHeight="1">
      <c r="D81" s="42"/>
      <c r="E81" s="42"/>
    </row>
    <row r="82" ht="15.75" customHeight="1">
      <c r="D82" s="42"/>
      <c r="E82" s="42"/>
    </row>
    <row r="83" ht="15.75" customHeight="1">
      <c r="D83" s="42"/>
      <c r="E83" s="42"/>
    </row>
    <row r="84" ht="15.75" customHeight="1">
      <c r="D84" s="42"/>
      <c r="E84" s="42"/>
    </row>
    <row r="85" ht="15.75" customHeight="1">
      <c r="D85" s="42"/>
      <c r="E85" s="42"/>
    </row>
    <row r="86" ht="15.75" customHeight="1">
      <c r="D86" s="42"/>
      <c r="E86" s="42"/>
    </row>
    <row r="87" ht="15.75" customHeight="1">
      <c r="D87" s="42"/>
      <c r="E87" s="42"/>
    </row>
    <row r="88" ht="15.75" customHeight="1">
      <c r="D88" s="42"/>
      <c r="E88" s="42"/>
    </row>
    <row r="89" ht="15.75" customHeight="1">
      <c r="D89" s="42"/>
      <c r="E89" s="42"/>
    </row>
    <row r="90" ht="15.75" customHeight="1">
      <c r="D90" s="42"/>
      <c r="E90" s="42"/>
    </row>
    <row r="91" ht="15.75" customHeight="1">
      <c r="D91" s="42"/>
      <c r="E91" s="42"/>
    </row>
    <row r="92" ht="15.75" customHeight="1">
      <c r="D92" s="42"/>
      <c r="E92" s="42"/>
    </row>
    <row r="93" ht="15.75" customHeight="1">
      <c r="D93" s="42"/>
      <c r="E93" s="42"/>
    </row>
    <row r="94" ht="15.75" customHeight="1">
      <c r="D94" s="42"/>
      <c r="E94" s="42"/>
    </row>
    <row r="95" ht="15.75" customHeight="1">
      <c r="D95" s="42"/>
      <c r="E95" s="42"/>
    </row>
    <row r="96" ht="15.75" customHeight="1">
      <c r="D96" s="42"/>
      <c r="E96" s="42"/>
    </row>
    <row r="97" ht="15.75" customHeight="1">
      <c r="D97" s="42"/>
      <c r="E97" s="42"/>
    </row>
    <row r="98" ht="15.75" customHeight="1">
      <c r="D98" s="42"/>
      <c r="E98" s="42"/>
    </row>
    <row r="99" ht="15.75" customHeight="1">
      <c r="D99" s="42"/>
      <c r="E99" s="42"/>
    </row>
    <row r="100" ht="15.75" customHeight="1">
      <c r="D100" s="42"/>
      <c r="E100" s="42"/>
    </row>
    <row r="101" ht="15.75" customHeight="1">
      <c r="D101" s="42"/>
      <c r="E101" s="42"/>
    </row>
    <row r="102" ht="15.75" customHeight="1">
      <c r="D102" s="42"/>
      <c r="E102" s="42"/>
    </row>
    <row r="103" ht="15.75" customHeight="1">
      <c r="D103" s="42"/>
      <c r="E103" s="42"/>
    </row>
    <row r="104" ht="15.75" customHeight="1">
      <c r="D104" s="42"/>
      <c r="E104" s="42"/>
    </row>
    <row r="105" ht="15.75" customHeight="1">
      <c r="D105" s="42"/>
      <c r="E105" s="42"/>
    </row>
    <row r="106" ht="15.75" customHeight="1">
      <c r="D106" s="42"/>
      <c r="E106" s="42"/>
    </row>
    <row r="107" ht="15.75" customHeight="1">
      <c r="D107" s="42"/>
      <c r="E107" s="42"/>
    </row>
    <row r="108" ht="15.75" customHeight="1">
      <c r="D108" s="42"/>
      <c r="E108" s="42"/>
    </row>
    <row r="109" ht="15.75" customHeight="1">
      <c r="D109" s="42"/>
      <c r="E109" s="42"/>
    </row>
    <row r="110" ht="15.75" customHeight="1">
      <c r="D110" s="42"/>
      <c r="E110" s="42"/>
    </row>
    <row r="111" ht="15.75" customHeight="1">
      <c r="D111" s="42"/>
      <c r="E111" s="42"/>
    </row>
    <row r="112" ht="15.75" customHeight="1">
      <c r="D112" s="42"/>
      <c r="E112" s="42"/>
    </row>
    <row r="113" ht="15.75" customHeight="1">
      <c r="D113" s="42"/>
      <c r="E113" s="42"/>
    </row>
    <row r="114" ht="15.75" customHeight="1">
      <c r="D114" s="42"/>
      <c r="E114" s="42"/>
    </row>
    <row r="115" ht="15.75" customHeight="1">
      <c r="D115" s="42"/>
      <c r="E115" s="42"/>
    </row>
    <row r="116" ht="15.75" customHeight="1">
      <c r="D116" s="42"/>
      <c r="E116" s="42"/>
    </row>
    <row r="117" ht="15.75" customHeight="1">
      <c r="D117" s="42"/>
      <c r="E117" s="42"/>
    </row>
    <row r="118" ht="15.75" customHeight="1">
      <c r="D118" s="42"/>
      <c r="E118" s="42"/>
    </row>
    <row r="119" ht="15.75" customHeight="1">
      <c r="D119" s="42"/>
      <c r="E119" s="42"/>
    </row>
    <row r="120" ht="15.75" customHeight="1">
      <c r="D120" s="42"/>
      <c r="E120" s="42"/>
    </row>
    <row r="121" ht="15.75" customHeight="1">
      <c r="D121" s="42"/>
      <c r="E121" s="42"/>
    </row>
    <row r="122" ht="15.75" customHeight="1">
      <c r="D122" s="42"/>
      <c r="E122" s="42"/>
    </row>
    <row r="123" ht="15.75" customHeight="1">
      <c r="D123" s="42"/>
      <c r="E123" s="42"/>
    </row>
    <row r="124" ht="15.75" customHeight="1">
      <c r="D124" s="42"/>
      <c r="E124" s="42"/>
    </row>
    <row r="125" ht="15.75" customHeight="1">
      <c r="D125" s="42"/>
      <c r="E125" s="42"/>
    </row>
    <row r="126" ht="15.75" customHeight="1">
      <c r="D126" s="42"/>
      <c r="E126" s="42"/>
    </row>
    <row r="127" ht="15.75" customHeight="1">
      <c r="D127" s="42"/>
      <c r="E127" s="42"/>
    </row>
    <row r="128" ht="15.75" customHeight="1">
      <c r="D128" s="42"/>
      <c r="E128" s="42"/>
    </row>
    <row r="129" ht="15.75" customHeight="1">
      <c r="D129" s="42"/>
      <c r="E129" s="42"/>
    </row>
    <row r="130" ht="15.75" customHeight="1">
      <c r="D130" s="42"/>
      <c r="E130" s="42"/>
    </row>
    <row r="131" ht="15.75" customHeight="1">
      <c r="D131" s="42"/>
      <c r="E131" s="42"/>
    </row>
    <row r="132" ht="15.75" customHeight="1">
      <c r="D132" s="42"/>
      <c r="E132" s="42"/>
    </row>
    <row r="133" ht="15.75" customHeight="1">
      <c r="D133" s="42"/>
      <c r="E133" s="42"/>
    </row>
    <row r="134" ht="15.75" customHeight="1">
      <c r="D134" s="42"/>
      <c r="E134" s="42"/>
    </row>
    <row r="135" ht="15.75" customHeight="1">
      <c r="D135" s="42"/>
      <c r="E135" s="42"/>
    </row>
    <row r="136" ht="15.75" customHeight="1">
      <c r="D136" s="42"/>
      <c r="E136" s="42"/>
    </row>
    <row r="137" ht="15.75" customHeight="1">
      <c r="D137" s="42"/>
      <c r="E137" s="42"/>
    </row>
    <row r="138" ht="15.75" customHeight="1">
      <c r="D138" s="42"/>
      <c r="E138" s="42"/>
    </row>
    <row r="139" ht="15.75" customHeight="1">
      <c r="D139" s="42"/>
      <c r="E139" s="42"/>
    </row>
    <row r="140" ht="15.75" customHeight="1">
      <c r="D140" s="42"/>
      <c r="E140" s="42"/>
    </row>
    <row r="141" ht="15.75" customHeight="1">
      <c r="D141" s="42"/>
      <c r="E141" s="42"/>
    </row>
    <row r="142" ht="15.75" customHeight="1">
      <c r="D142" s="42"/>
      <c r="E142" s="42"/>
    </row>
    <row r="143" ht="15.75" customHeight="1">
      <c r="D143" s="42"/>
      <c r="E143" s="42"/>
    </row>
    <row r="144" ht="15.75" customHeight="1">
      <c r="D144" s="42"/>
      <c r="E144" s="42"/>
    </row>
    <row r="145" ht="15.75" customHeight="1">
      <c r="D145" s="42"/>
      <c r="E145" s="42"/>
    </row>
    <row r="146" ht="15.75" customHeight="1">
      <c r="D146" s="42"/>
      <c r="E146" s="42"/>
    </row>
    <row r="147" ht="15.75" customHeight="1">
      <c r="D147" s="42"/>
      <c r="E147" s="42"/>
    </row>
    <row r="148" ht="15.75" customHeight="1">
      <c r="D148" s="42"/>
      <c r="E148" s="42"/>
    </row>
    <row r="149" ht="15.75" customHeight="1">
      <c r="D149" s="42"/>
      <c r="E149" s="42"/>
    </row>
    <row r="150" ht="15.75" customHeight="1">
      <c r="D150" s="42"/>
      <c r="E150" s="42"/>
    </row>
    <row r="151" ht="15.75" customHeight="1">
      <c r="D151" s="42"/>
      <c r="E151" s="42"/>
    </row>
    <row r="152" ht="15.75" customHeight="1">
      <c r="D152" s="42"/>
      <c r="E152" s="42"/>
    </row>
    <row r="153" ht="15.75" customHeight="1">
      <c r="D153" s="42"/>
      <c r="E153" s="42"/>
    </row>
    <row r="154" ht="15.75" customHeight="1">
      <c r="D154" s="42"/>
      <c r="E154" s="42"/>
    </row>
    <row r="155" ht="15.75" customHeight="1">
      <c r="D155" s="42"/>
      <c r="E155" s="42"/>
    </row>
    <row r="156" ht="15.75" customHeight="1">
      <c r="D156" s="42"/>
      <c r="E156" s="42"/>
    </row>
    <row r="157" ht="15.75" customHeight="1">
      <c r="D157" s="42"/>
      <c r="E157" s="42"/>
    </row>
    <row r="158" ht="15.75" customHeight="1">
      <c r="D158" s="42"/>
      <c r="E158" s="42"/>
    </row>
    <row r="159" ht="15.75" customHeight="1">
      <c r="D159" s="42"/>
      <c r="E159" s="42"/>
    </row>
    <row r="160" ht="15.75" customHeight="1">
      <c r="D160" s="42"/>
      <c r="E160" s="42"/>
    </row>
    <row r="161" ht="15.75" customHeight="1">
      <c r="D161" s="42"/>
      <c r="E161" s="42"/>
    </row>
    <row r="162" ht="15.75" customHeight="1">
      <c r="D162" s="42"/>
      <c r="E162" s="42"/>
    </row>
    <row r="163" ht="15.75" customHeight="1">
      <c r="D163" s="42"/>
      <c r="E163" s="42"/>
    </row>
    <row r="164" ht="15.75" customHeight="1">
      <c r="D164" s="42"/>
      <c r="E164" s="42"/>
    </row>
    <row r="165" ht="15.75" customHeight="1">
      <c r="D165" s="42"/>
      <c r="E165" s="42"/>
    </row>
    <row r="166" ht="15.75" customHeight="1">
      <c r="D166" s="42"/>
      <c r="E166" s="42"/>
    </row>
    <row r="167" ht="15.75" customHeight="1">
      <c r="D167" s="42"/>
      <c r="E167" s="42"/>
    </row>
    <row r="168" ht="15.75" customHeight="1">
      <c r="D168" s="42"/>
      <c r="E168" s="42"/>
    </row>
    <row r="169" ht="15.75" customHeight="1">
      <c r="D169" s="42"/>
      <c r="E169" s="42"/>
    </row>
    <row r="170" ht="15.75" customHeight="1">
      <c r="D170" s="42"/>
      <c r="E170" s="42"/>
    </row>
    <row r="171" ht="15.75" customHeight="1">
      <c r="D171" s="42"/>
      <c r="E171" s="42"/>
    </row>
    <row r="172" ht="15.75" customHeight="1">
      <c r="D172" s="42"/>
      <c r="E172" s="42"/>
    </row>
    <row r="173" ht="15.75" customHeight="1">
      <c r="D173" s="42"/>
      <c r="E173" s="42"/>
    </row>
    <row r="174" ht="15.75" customHeight="1">
      <c r="D174" s="42"/>
      <c r="E174" s="42"/>
    </row>
    <row r="175" ht="15.75" customHeight="1">
      <c r="D175" s="42"/>
      <c r="E175" s="42"/>
    </row>
    <row r="176" ht="15.75" customHeight="1">
      <c r="D176" s="42"/>
      <c r="E176" s="42"/>
    </row>
    <row r="177" ht="15.75" customHeight="1">
      <c r="D177" s="42"/>
      <c r="E177" s="42"/>
    </row>
    <row r="178" ht="15.75" customHeight="1">
      <c r="D178" s="42"/>
      <c r="E178" s="42"/>
    </row>
    <row r="179" ht="15.75" customHeight="1">
      <c r="D179" s="42"/>
      <c r="E179" s="42"/>
    </row>
    <row r="180" ht="15.75" customHeight="1">
      <c r="D180" s="42"/>
      <c r="E180" s="42"/>
    </row>
    <row r="181" ht="15.75" customHeight="1">
      <c r="D181" s="42"/>
      <c r="E181" s="42"/>
    </row>
    <row r="182" ht="15.75" customHeight="1">
      <c r="D182" s="42"/>
      <c r="E182" s="42"/>
    </row>
    <row r="183" ht="15.75" customHeight="1">
      <c r="D183" s="42"/>
      <c r="E183" s="42"/>
    </row>
    <row r="184" ht="15.75" customHeight="1">
      <c r="D184" s="42"/>
      <c r="E184" s="42"/>
    </row>
    <row r="185" ht="15.75" customHeight="1">
      <c r="D185" s="42"/>
      <c r="E185" s="42"/>
    </row>
    <row r="186" ht="15.75" customHeight="1">
      <c r="D186" s="42"/>
      <c r="E186" s="42"/>
    </row>
    <row r="187" ht="15.75" customHeight="1">
      <c r="D187" s="42"/>
      <c r="E187" s="42"/>
    </row>
    <row r="188" ht="15.75" customHeight="1">
      <c r="D188" s="42"/>
      <c r="E188" s="42"/>
    </row>
    <row r="189" ht="15.75" customHeight="1">
      <c r="D189" s="42"/>
      <c r="E189" s="42"/>
    </row>
    <row r="190" ht="15.75" customHeight="1">
      <c r="D190" s="42"/>
      <c r="E190" s="42"/>
    </row>
    <row r="191" ht="15.75" customHeight="1">
      <c r="D191" s="42"/>
      <c r="E191" s="42"/>
    </row>
    <row r="192" ht="15.75" customHeight="1">
      <c r="D192" s="42"/>
      <c r="E192" s="42"/>
    </row>
    <row r="193" ht="15.75" customHeight="1">
      <c r="D193" s="42"/>
      <c r="E193" s="42"/>
    </row>
    <row r="194" ht="15.75" customHeight="1">
      <c r="D194" s="42"/>
      <c r="E194" s="42"/>
    </row>
    <row r="195" ht="15.75" customHeight="1">
      <c r="D195" s="42"/>
      <c r="E195" s="42"/>
    </row>
    <row r="196" ht="15.75" customHeight="1">
      <c r="D196" s="42"/>
      <c r="E196" s="42"/>
    </row>
    <row r="197" ht="15.75" customHeight="1">
      <c r="D197" s="42"/>
      <c r="E197" s="42"/>
    </row>
    <row r="198" ht="15.75" customHeight="1">
      <c r="D198" s="42"/>
      <c r="E198" s="42"/>
    </row>
    <row r="199" ht="15.75" customHeight="1">
      <c r="D199" s="42"/>
      <c r="E199" s="42"/>
    </row>
    <row r="200" ht="15.75" customHeight="1">
      <c r="D200" s="42"/>
      <c r="E200" s="42"/>
    </row>
    <row r="201" ht="15.75" customHeight="1">
      <c r="D201" s="42"/>
      <c r="E201" s="42"/>
    </row>
    <row r="202" ht="15.75" customHeight="1">
      <c r="D202" s="42"/>
      <c r="E202" s="42"/>
    </row>
    <row r="203" ht="15.75" customHeight="1">
      <c r="D203" s="42"/>
      <c r="E203" s="42"/>
    </row>
    <row r="204" ht="15.75" customHeight="1">
      <c r="D204" s="42"/>
      <c r="E204" s="42"/>
    </row>
    <row r="205" ht="15.75" customHeight="1">
      <c r="D205" s="42"/>
      <c r="E205" s="42"/>
    </row>
    <row r="206" ht="15.75" customHeight="1">
      <c r="D206" s="42"/>
      <c r="E206" s="42"/>
    </row>
    <row r="207" ht="15.75" customHeight="1">
      <c r="D207" s="42"/>
      <c r="E207" s="42"/>
    </row>
    <row r="208" ht="15.75" customHeight="1">
      <c r="D208" s="42"/>
      <c r="E208" s="42"/>
    </row>
    <row r="209" ht="15.75" customHeight="1">
      <c r="D209" s="42"/>
      <c r="E209" s="42"/>
    </row>
    <row r="210" ht="15.75" customHeight="1">
      <c r="D210" s="42"/>
      <c r="E210" s="42"/>
    </row>
    <row r="211" ht="15.75" customHeight="1">
      <c r="D211" s="42"/>
      <c r="E211" s="42"/>
    </row>
    <row r="212" ht="15.75" customHeight="1">
      <c r="D212" s="42"/>
      <c r="E212" s="42"/>
    </row>
    <row r="213" ht="15.75" customHeight="1">
      <c r="D213" s="42"/>
      <c r="E213" s="42"/>
    </row>
    <row r="214" ht="15.75" customHeight="1">
      <c r="D214" s="42"/>
      <c r="E214" s="42"/>
    </row>
    <row r="215" ht="15.75" customHeight="1">
      <c r="D215" s="42"/>
      <c r="E215" s="42"/>
    </row>
    <row r="216" ht="15.75" customHeight="1">
      <c r="D216" s="42"/>
      <c r="E216" s="42"/>
    </row>
    <row r="217" ht="15.75" customHeight="1">
      <c r="D217" s="42"/>
      <c r="E217" s="42"/>
    </row>
    <row r="218" ht="15.75" customHeight="1">
      <c r="D218" s="42"/>
      <c r="E218" s="42"/>
    </row>
    <row r="219" ht="15.75" customHeight="1">
      <c r="D219" s="42"/>
      <c r="E219" s="42"/>
    </row>
    <row r="220" ht="15.75" customHeight="1">
      <c r="D220" s="42"/>
      <c r="E220" s="42"/>
    </row>
    <row r="221" ht="15.75" customHeight="1">
      <c r="D221" s="42"/>
      <c r="E221" s="42"/>
    </row>
    <row r="222" ht="15.75" customHeight="1">
      <c r="D222" s="42"/>
      <c r="E222" s="42"/>
    </row>
    <row r="223" ht="15.75" customHeight="1">
      <c r="D223" s="42"/>
      <c r="E223" s="42"/>
    </row>
    <row r="224" ht="15.75" customHeight="1">
      <c r="D224" s="42"/>
      <c r="E224" s="42"/>
    </row>
    <row r="225" ht="15.75" customHeight="1">
      <c r="D225" s="42"/>
      <c r="E225" s="42"/>
    </row>
    <row r="226" ht="15.75" customHeight="1">
      <c r="D226" s="42"/>
      <c r="E226" s="42"/>
    </row>
    <row r="227" ht="15.75" customHeight="1">
      <c r="D227" s="42"/>
      <c r="E227" s="42"/>
    </row>
    <row r="228" ht="15.75" customHeight="1">
      <c r="D228" s="42"/>
      <c r="E228" s="42"/>
    </row>
    <row r="229" ht="15.75" customHeight="1">
      <c r="D229" s="42"/>
      <c r="E229" s="42"/>
    </row>
    <row r="230" ht="15.75" customHeight="1">
      <c r="D230" s="42"/>
      <c r="E230" s="42"/>
    </row>
    <row r="231" ht="15.75" customHeight="1">
      <c r="D231" s="42"/>
      <c r="E231" s="42"/>
    </row>
    <row r="232" ht="15.75" customHeight="1">
      <c r="D232" s="42"/>
      <c r="E232" s="42"/>
    </row>
    <row r="233" ht="15.75" customHeight="1">
      <c r="D233" s="42"/>
      <c r="E233" s="42"/>
    </row>
    <row r="234" ht="15.75" customHeight="1">
      <c r="D234" s="42"/>
      <c r="E234" s="42"/>
    </row>
    <row r="235" ht="15.75" customHeight="1">
      <c r="D235" s="42"/>
      <c r="E235" s="42"/>
    </row>
    <row r="236" ht="15.75" customHeight="1">
      <c r="D236" s="42"/>
      <c r="E236" s="42"/>
    </row>
    <row r="237" ht="15.75" customHeight="1">
      <c r="D237" s="42"/>
      <c r="E237" s="42"/>
    </row>
    <row r="238" ht="15.75" customHeight="1">
      <c r="D238" s="42"/>
      <c r="E238" s="42"/>
    </row>
    <row r="239" ht="15.75" customHeight="1">
      <c r="D239" s="42"/>
      <c r="E239" s="42"/>
    </row>
    <row r="240" ht="15.75" customHeight="1">
      <c r="D240" s="42"/>
      <c r="E240" s="42"/>
    </row>
    <row r="241" ht="15.75" customHeight="1">
      <c r="D241" s="42"/>
      <c r="E241" s="42"/>
    </row>
    <row r="242" ht="15.75" customHeight="1">
      <c r="D242" s="42"/>
      <c r="E242" s="42"/>
    </row>
    <row r="243" ht="15.75" customHeight="1">
      <c r="D243" s="42"/>
      <c r="E243" s="42"/>
    </row>
    <row r="244" ht="15.75" customHeight="1">
      <c r="D244" s="42"/>
      <c r="E244" s="42"/>
    </row>
    <row r="245" ht="15.75" customHeight="1">
      <c r="D245" s="42"/>
      <c r="E245" s="42"/>
    </row>
    <row r="246" ht="15.75" customHeight="1">
      <c r="D246" s="42"/>
      <c r="E246" s="42"/>
    </row>
    <row r="247" ht="15.75" customHeight="1">
      <c r="D247" s="42"/>
      <c r="E247" s="42"/>
    </row>
    <row r="248" ht="15.75" customHeight="1">
      <c r="D248" s="42"/>
      <c r="E248" s="42"/>
    </row>
    <row r="249" ht="15.75" customHeight="1">
      <c r="D249" s="42"/>
      <c r="E249" s="42"/>
    </row>
    <row r="250" ht="15.75" customHeight="1">
      <c r="D250" s="42"/>
      <c r="E250" s="42"/>
    </row>
    <row r="251" ht="15.75" customHeight="1">
      <c r="D251" s="42"/>
      <c r="E251" s="42"/>
    </row>
    <row r="252" ht="15.75" customHeight="1">
      <c r="D252" s="42"/>
      <c r="E252" s="42"/>
    </row>
    <row r="253" ht="15.75" customHeight="1">
      <c r="D253" s="42"/>
      <c r="E253" s="42"/>
    </row>
    <row r="254" ht="15.75" customHeight="1">
      <c r="D254" s="42"/>
      <c r="E254" s="42"/>
    </row>
    <row r="255" ht="15.75" customHeight="1">
      <c r="D255" s="42"/>
      <c r="E255" s="42"/>
    </row>
    <row r="256" ht="15.75" customHeight="1">
      <c r="D256" s="42"/>
      <c r="E256" s="42"/>
    </row>
    <row r="257" ht="15.75" customHeight="1">
      <c r="D257" s="42"/>
      <c r="E257" s="42"/>
    </row>
    <row r="258" ht="15.75" customHeight="1">
      <c r="D258" s="42"/>
      <c r="E258" s="42"/>
    </row>
    <row r="259" ht="15.75" customHeight="1">
      <c r="D259" s="42"/>
      <c r="E259" s="42"/>
    </row>
    <row r="260" ht="15.75" customHeight="1">
      <c r="D260" s="42"/>
      <c r="E260" s="42"/>
    </row>
    <row r="261" ht="15.75" customHeight="1">
      <c r="D261" s="42"/>
      <c r="E261" s="42"/>
    </row>
    <row r="262" ht="15.75" customHeight="1">
      <c r="D262" s="42"/>
      <c r="E262" s="42"/>
    </row>
    <row r="263" ht="15.75" customHeight="1">
      <c r="D263" s="42"/>
      <c r="E263" s="42"/>
    </row>
    <row r="264" ht="15.75" customHeight="1">
      <c r="D264" s="42"/>
      <c r="E264" s="42"/>
    </row>
    <row r="265" ht="15.75" customHeight="1">
      <c r="D265" s="42"/>
      <c r="E265" s="42"/>
    </row>
    <row r="266" ht="15.75" customHeight="1">
      <c r="D266" s="42"/>
      <c r="E266" s="42"/>
    </row>
    <row r="267" ht="15.75" customHeight="1">
      <c r="D267" s="42"/>
      <c r="E267" s="42"/>
    </row>
    <row r="268" ht="15.75" customHeight="1">
      <c r="D268" s="42"/>
      <c r="E268" s="42"/>
    </row>
    <row r="269" ht="15.75" customHeight="1">
      <c r="D269" s="42"/>
      <c r="E269" s="42"/>
    </row>
    <row r="270" ht="15.75" customHeight="1">
      <c r="D270" s="42"/>
      <c r="E270" s="42"/>
    </row>
    <row r="271" ht="15.75" customHeight="1">
      <c r="D271" s="42"/>
      <c r="E271" s="42"/>
    </row>
    <row r="272" ht="15.75" customHeight="1">
      <c r="D272" s="42"/>
      <c r="E272" s="42"/>
    </row>
    <row r="273" ht="15.75" customHeight="1">
      <c r="D273" s="42"/>
      <c r="E273" s="42"/>
    </row>
    <row r="274" ht="15.75" customHeight="1">
      <c r="D274" s="42"/>
      <c r="E274" s="42"/>
    </row>
    <row r="275" ht="15.75" customHeight="1">
      <c r="D275" s="42"/>
      <c r="E275" s="42"/>
    </row>
    <row r="276" ht="15.75" customHeight="1">
      <c r="D276" s="42"/>
      <c r="E276" s="42"/>
    </row>
    <row r="277" ht="15.75" customHeight="1">
      <c r="D277" s="42"/>
      <c r="E277" s="42"/>
    </row>
    <row r="278" ht="15.75" customHeight="1">
      <c r="D278" s="42"/>
      <c r="E278" s="42"/>
    </row>
    <row r="279" ht="15.75" customHeight="1">
      <c r="D279" s="42"/>
      <c r="E279" s="42"/>
    </row>
    <row r="280" ht="15.75" customHeight="1">
      <c r="D280" s="42"/>
      <c r="E280" s="42"/>
    </row>
    <row r="281" ht="15.75" customHeight="1">
      <c r="D281" s="42"/>
      <c r="E281" s="42"/>
    </row>
    <row r="282" ht="15.75" customHeight="1">
      <c r="D282" s="42"/>
      <c r="E282" s="42"/>
    </row>
    <row r="283" ht="15.75" customHeight="1">
      <c r="D283" s="42"/>
      <c r="E283" s="42"/>
    </row>
    <row r="284" ht="15.75" customHeight="1">
      <c r="D284" s="42"/>
      <c r="E284" s="42"/>
    </row>
    <row r="285" ht="15.75" customHeight="1">
      <c r="D285" s="42"/>
      <c r="E285" s="42"/>
    </row>
    <row r="286" ht="15.75" customHeight="1">
      <c r="D286" s="42"/>
      <c r="E286" s="42"/>
    </row>
    <row r="287" ht="15.75" customHeight="1">
      <c r="D287" s="42"/>
      <c r="E287" s="42"/>
    </row>
    <row r="288" ht="15.75" customHeight="1">
      <c r="D288" s="42"/>
      <c r="E288" s="42"/>
    </row>
    <row r="289" ht="15.75" customHeight="1">
      <c r="D289" s="42"/>
      <c r="E289" s="42"/>
    </row>
    <row r="290" ht="15.75" customHeight="1">
      <c r="D290" s="42"/>
      <c r="E290" s="42"/>
    </row>
    <row r="291" ht="15.75" customHeight="1">
      <c r="D291" s="42"/>
      <c r="E291" s="42"/>
    </row>
    <row r="292" ht="15.75" customHeight="1">
      <c r="D292" s="42"/>
      <c r="E292" s="42"/>
    </row>
    <row r="293" ht="15.75" customHeight="1">
      <c r="D293" s="42"/>
      <c r="E293" s="42"/>
    </row>
    <row r="294" ht="15.75" customHeight="1">
      <c r="D294" s="42"/>
      <c r="E294" s="42"/>
    </row>
    <row r="295" ht="15.75" customHeight="1">
      <c r="D295" s="42"/>
      <c r="E295" s="42"/>
    </row>
    <row r="296" ht="15.75" customHeight="1">
      <c r="D296" s="42"/>
      <c r="E296" s="42"/>
    </row>
    <row r="297" ht="15.75" customHeight="1">
      <c r="D297" s="42"/>
      <c r="E297" s="42"/>
    </row>
    <row r="298" ht="15.75" customHeight="1">
      <c r="D298" s="42"/>
      <c r="E298" s="42"/>
    </row>
    <row r="299" ht="15.75" customHeight="1">
      <c r="D299" s="42"/>
      <c r="E299" s="42"/>
    </row>
    <row r="300" ht="15.75" customHeight="1">
      <c r="D300" s="42"/>
      <c r="E300" s="42"/>
    </row>
    <row r="301" ht="15.75" customHeight="1">
      <c r="D301" s="42"/>
      <c r="E301" s="42"/>
    </row>
    <row r="302" ht="15.75" customHeight="1">
      <c r="D302" s="42"/>
      <c r="E302" s="42"/>
    </row>
    <row r="303" ht="15.75" customHeight="1">
      <c r="D303" s="42"/>
      <c r="E303" s="42"/>
    </row>
    <row r="304" ht="15.75" customHeight="1">
      <c r="D304" s="42"/>
      <c r="E304" s="42"/>
    </row>
    <row r="305" ht="15.75" customHeight="1">
      <c r="D305" s="42"/>
      <c r="E305" s="42"/>
    </row>
    <row r="306" ht="15.75" customHeight="1">
      <c r="D306" s="42"/>
      <c r="E306" s="42"/>
    </row>
    <row r="307" ht="15.75" customHeight="1">
      <c r="D307" s="42"/>
      <c r="E307" s="42"/>
    </row>
    <row r="308" ht="15.75" customHeight="1">
      <c r="D308" s="42"/>
      <c r="E308" s="42"/>
    </row>
    <row r="309" ht="15.75" customHeight="1">
      <c r="D309" s="42"/>
      <c r="E309" s="42"/>
    </row>
    <row r="310" ht="15.75" customHeight="1">
      <c r="D310" s="42"/>
      <c r="E310" s="42"/>
    </row>
    <row r="311" ht="15.75" customHeight="1">
      <c r="D311" s="42"/>
      <c r="E311" s="42"/>
    </row>
    <row r="312" ht="15.75" customHeight="1">
      <c r="D312" s="42"/>
      <c r="E312" s="42"/>
    </row>
    <row r="313" ht="15.75" customHeight="1">
      <c r="D313" s="42"/>
      <c r="E313" s="42"/>
    </row>
    <row r="314" ht="15.75" customHeight="1">
      <c r="D314" s="42"/>
      <c r="E314" s="42"/>
    </row>
    <row r="315" ht="15.75" customHeight="1">
      <c r="D315" s="42"/>
      <c r="E315" s="42"/>
    </row>
    <row r="316" ht="15.75" customHeight="1">
      <c r="D316" s="42"/>
      <c r="E316" s="42"/>
    </row>
    <row r="317" ht="15.75" customHeight="1">
      <c r="D317" s="42"/>
      <c r="E317" s="42"/>
    </row>
    <row r="318" ht="15.75" customHeight="1">
      <c r="D318" s="42"/>
      <c r="E318" s="42"/>
    </row>
    <row r="319" ht="15.75" customHeight="1">
      <c r="D319" s="42"/>
      <c r="E319" s="42"/>
    </row>
    <row r="320" ht="15.75" customHeight="1">
      <c r="D320" s="42"/>
      <c r="E320" s="42"/>
    </row>
    <row r="321" ht="15.75" customHeight="1">
      <c r="D321" s="42"/>
      <c r="E321" s="42"/>
    </row>
    <row r="322" ht="15.75" customHeight="1">
      <c r="D322" s="42"/>
      <c r="E322" s="42"/>
    </row>
    <row r="323" ht="15.75" customHeight="1">
      <c r="D323" s="42"/>
      <c r="E323" s="42"/>
    </row>
    <row r="324" ht="15.75" customHeight="1">
      <c r="D324" s="42"/>
      <c r="E324" s="42"/>
    </row>
    <row r="325" ht="15.75" customHeight="1">
      <c r="D325" s="42"/>
      <c r="E325" s="42"/>
    </row>
    <row r="326" ht="15.75" customHeight="1">
      <c r="D326" s="42"/>
      <c r="E326" s="42"/>
    </row>
    <row r="327" ht="15.75" customHeight="1">
      <c r="D327" s="42"/>
      <c r="E327" s="42"/>
    </row>
    <row r="328" ht="15.75" customHeight="1">
      <c r="D328" s="42"/>
      <c r="E328" s="42"/>
    </row>
    <row r="329" ht="15.75" customHeight="1">
      <c r="D329" s="42"/>
      <c r="E329" s="42"/>
    </row>
    <row r="330" ht="15.75" customHeight="1">
      <c r="D330" s="42"/>
      <c r="E330" s="42"/>
    </row>
    <row r="331" ht="15.75" customHeight="1">
      <c r="D331" s="42"/>
      <c r="E331" s="42"/>
    </row>
    <row r="332" ht="15.75" customHeight="1">
      <c r="D332" s="42"/>
      <c r="E332" s="42"/>
    </row>
    <row r="333" ht="15.75" customHeight="1">
      <c r="D333" s="42"/>
      <c r="E333" s="42"/>
    </row>
    <row r="334" ht="15.75" customHeight="1">
      <c r="D334" s="42"/>
      <c r="E334" s="42"/>
    </row>
    <row r="335" ht="15.75" customHeight="1">
      <c r="D335" s="42"/>
      <c r="E335" s="42"/>
    </row>
    <row r="336" ht="15.75" customHeight="1">
      <c r="D336" s="42"/>
      <c r="E336" s="42"/>
    </row>
    <row r="337" ht="15.75" customHeight="1">
      <c r="D337" s="42"/>
      <c r="E337" s="42"/>
    </row>
    <row r="338" ht="15.75" customHeight="1">
      <c r="D338" s="42"/>
      <c r="E338" s="42"/>
    </row>
    <row r="339" ht="15.75" customHeight="1">
      <c r="D339" s="42"/>
      <c r="E339" s="42"/>
    </row>
    <row r="340" ht="15.75" customHeight="1">
      <c r="D340" s="42"/>
      <c r="E340" s="42"/>
    </row>
    <row r="341" ht="15.75" customHeight="1">
      <c r="D341" s="42"/>
      <c r="E341" s="42"/>
    </row>
    <row r="342" ht="15.75" customHeight="1">
      <c r="D342" s="42"/>
      <c r="E342" s="42"/>
    </row>
    <row r="343" ht="15.75" customHeight="1">
      <c r="D343" s="42"/>
      <c r="E343" s="42"/>
    </row>
    <row r="344" ht="15.75" customHeight="1">
      <c r="D344" s="42"/>
      <c r="E344" s="42"/>
    </row>
    <row r="345" ht="15.75" customHeight="1">
      <c r="D345" s="42"/>
      <c r="E345" s="42"/>
    </row>
    <row r="346" ht="15.75" customHeight="1">
      <c r="D346" s="42"/>
      <c r="E346" s="42"/>
    </row>
    <row r="347" ht="15.75" customHeight="1">
      <c r="D347" s="42"/>
      <c r="E347" s="42"/>
    </row>
    <row r="348" ht="15.75" customHeight="1">
      <c r="D348" s="42"/>
      <c r="E348" s="42"/>
    </row>
    <row r="349" ht="15.75" customHeight="1">
      <c r="D349" s="42"/>
      <c r="E349" s="42"/>
    </row>
    <row r="350" ht="15.75" customHeight="1">
      <c r="D350" s="42"/>
      <c r="E350" s="42"/>
    </row>
    <row r="351" ht="15.75" customHeight="1">
      <c r="D351" s="42"/>
      <c r="E351" s="42"/>
    </row>
    <row r="352" ht="15.75" customHeight="1">
      <c r="D352" s="42"/>
      <c r="E352" s="42"/>
    </row>
    <row r="353" ht="15.75" customHeight="1">
      <c r="D353" s="42"/>
      <c r="E353" s="42"/>
    </row>
    <row r="354" ht="15.75" customHeight="1">
      <c r="D354" s="42"/>
      <c r="E354" s="42"/>
    </row>
    <row r="355" ht="15.75" customHeight="1">
      <c r="D355" s="42"/>
      <c r="E355" s="42"/>
    </row>
    <row r="356" ht="15.75" customHeight="1">
      <c r="D356" s="42"/>
      <c r="E356" s="42"/>
    </row>
    <row r="357" ht="15.75" customHeight="1">
      <c r="D357" s="42"/>
      <c r="E357" s="42"/>
    </row>
    <row r="358" ht="15.75" customHeight="1">
      <c r="D358" s="42"/>
      <c r="E358" s="42"/>
    </row>
    <row r="359" ht="15.75" customHeight="1">
      <c r="D359" s="42"/>
      <c r="E359" s="42"/>
    </row>
    <row r="360" ht="15.75" customHeight="1">
      <c r="D360" s="42"/>
      <c r="E360" s="42"/>
    </row>
    <row r="361" ht="15.75" customHeight="1">
      <c r="D361" s="42"/>
      <c r="E361" s="42"/>
    </row>
    <row r="362" ht="15.75" customHeight="1">
      <c r="D362" s="42"/>
      <c r="E362" s="42"/>
    </row>
    <row r="363" ht="15.75" customHeight="1">
      <c r="D363" s="42"/>
      <c r="E363" s="42"/>
    </row>
    <row r="364" ht="15.75" customHeight="1">
      <c r="D364" s="42"/>
      <c r="E364" s="42"/>
    </row>
    <row r="365" ht="15.75" customHeight="1">
      <c r="D365" s="42"/>
      <c r="E365" s="42"/>
    </row>
    <row r="366" ht="15.75" customHeight="1">
      <c r="D366" s="42"/>
      <c r="E366" s="42"/>
    </row>
    <row r="367" ht="15.75" customHeight="1">
      <c r="D367" s="42"/>
      <c r="E367" s="42"/>
    </row>
    <row r="368" ht="15.75" customHeight="1">
      <c r="D368" s="42"/>
      <c r="E368" s="42"/>
    </row>
    <row r="369" ht="15.75" customHeight="1">
      <c r="D369" s="42"/>
      <c r="E369" s="42"/>
    </row>
    <row r="370" ht="15.75" customHeight="1">
      <c r="D370" s="42"/>
      <c r="E370" s="42"/>
    </row>
    <row r="371" ht="15.75" customHeight="1">
      <c r="D371" s="42"/>
      <c r="E371" s="42"/>
    </row>
    <row r="372" ht="15.75" customHeight="1">
      <c r="D372" s="42"/>
      <c r="E372" s="42"/>
    </row>
    <row r="373" ht="15.75" customHeight="1">
      <c r="D373" s="42"/>
      <c r="E373" s="42"/>
    </row>
    <row r="374" ht="15.75" customHeight="1">
      <c r="D374" s="42"/>
      <c r="E374" s="42"/>
    </row>
    <row r="375" ht="15.75" customHeight="1">
      <c r="D375" s="42"/>
      <c r="E375" s="42"/>
    </row>
    <row r="376" ht="15.75" customHeight="1">
      <c r="D376" s="42"/>
      <c r="E376" s="42"/>
    </row>
    <row r="377" ht="15.75" customHeight="1">
      <c r="D377" s="42"/>
      <c r="E377" s="42"/>
    </row>
    <row r="378" ht="15.75" customHeight="1">
      <c r="D378" s="42"/>
      <c r="E378" s="42"/>
    </row>
    <row r="379" ht="15.75" customHeight="1">
      <c r="D379" s="42"/>
      <c r="E379" s="42"/>
    </row>
    <row r="380" ht="15.75" customHeight="1">
      <c r="D380" s="42"/>
      <c r="E380" s="42"/>
    </row>
    <row r="381" ht="15.75" customHeight="1">
      <c r="D381" s="42"/>
      <c r="E381" s="42"/>
    </row>
    <row r="382" ht="15.75" customHeight="1">
      <c r="D382" s="42"/>
      <c r="E382" s="42"/>
    </row>
    <row r="383" ht="15.75" customHeight="1">
      <c r="D383" s="42"/>
      <c r="E383" s="42"/>
    </row>
    <row r="384" ht="15.75" customHeight="1">
      <c r="D384" s="42"/>
      <c r="E384" s="42"/>
    </row>
    <row r="385" ht="15.75" customHeight="1">
      <c r="D385" s="42"/>
      <c r="E385" s="42"/>
    </row>
    <row r="386" ht="15.75" customHeight="1">
      <c r="D386" s="42"/>
      <c r="E386" s="42"/>
    </row>
    <row r="387" ht="15.75" customHeight="1">
      <c r="D387" s="42"/>
      <c r="E387" s="42"/>
    </row>
    <row r="388" ht="15.75" customHeight="1">
      <c r="D388" s="42"/>
      <c r="E388" s="42"/>
    </row>
    <row r="389" ht="15.75" customHeight="1">
      <c r="D389" s="42"/>
      <c r="E389" s="42"/>
    </row>
    <row r="390" ht="15.75" customHeight="1">
      <c r="D390" s="42"/>
      <c r="E390" s="42"/>
    </row>
    <row r="391" ht="15.75" customHeight="1">
      <c r="D391" s="42"/>
      <c r="E391" s="42"/>
    </row>
    <row r="392" ht="15.75" customHeight="1">
      <c r="D392" s="42"/>
      <c r="E392" s="42"/>
    </row>
    <row r="393" ht="15.75" customHeight="1">
      <c r="D393" s="42"/>
      <c r="E393" s="42"/>
    </row>
    <row r="394" ht="15.75" customHeight="1">
      <c r="D394" s="42"/>
      <c r="E394" s="42"/>
    </row>
    <row r="395" ht="15.75" customHeight="1">
      <c r="D395" s="42"/>
      <c r="E395" s="42"/>
    </row>
    <row r="396" ht="15.75" customHeight="1">
      <c r="D396" s="42"/>
      <c r="E396" s="42"/>
    </row>
    <row r="397" ht="15.75" customHeight="1">
      <c r="D397" s="42"/>
      <c r="E397" s="42"/>
    </row>
    <row r="398" ht="15.75" customHeight="1">
      <c r="D398" s="42"/>
      <c r="E398" s="42"/>
    </row>
    <row r="399" ht="15.75" customHeight="1">
      <c r="D399" s="42"/>
      <c r="E399" s="42"/>
    </row>
    <row r="400" ht="15.75" customHeight="1">
      <c r="D400" s="42"/>
      <c r="E400" s="42"/>
    </row>
    <row r="401" ht="15.75" customHeight="1">
      <c r="D401" s="42"/>
      <c r="E401" s="42"/>
    </row>
    <row r="402" ht="15.75" customHeight="1">
      <c r="D402" s="42"/>
      <c r="E402" s="42"/>
    </row>
    <row r="403" ht="15.75" customHeight="1">
      <c r="D403" s="42"/>
      <c r="E403" s="42"/>
    </row>
    <row r="404" ht="15.75" customHeight="1">
      <c r="D404" s="42"/>
      <c r="E404" s="42"/>
    </row>
    <row r="405" ht="15.75" customHeight="1">
      <c r="D405" s="42"/>
      <c r="E405" s="42"/>
    </row>
    <row r="406" ht="15.75" customHeight="1">
      <c r="D406" s="42"/>
      <c r="E406" s="42"/>
    </row>
    <row r="407" ht="15.75" customHeight="1">
      <c r="D407" s="42"/>
      <c r="E407" s="42"/>
    </row>
    <row r="408" ht="15.75" customHeight="1">
      <c r="D408" s="42"/>
      <c r="E408" s="42"/>
    </row>
    <row r="409" ht="15.75" customHeight="1">
      <c r="D409" s="42"/>
      <c r="E409" s="42"/>
    </row>
    <row r="410" ht="15.75" customHeight="1">
      <c r="D410" s="42"/>
      <c r="E410" s="42"/>
    </row>
    <row r="411" ht="15.75" customHeight="1">
      <c r="D411" s="42"/>
      <c r="E411" s="42"/>
    </row>
    <row r="412" ht="15.75" customHeight="1">
      <c r="D412" s="42"/>
      <c r="E412" s="42"/>
    </row>
    <row r="413" ht="15.75" customHeight="1">
      <c r="D413" s="42"/>
      <c r="E413" s="42"/>
    </row>
    <row r="414" ht="15.75" customHeight="1">
      <c r="D414" s="42"/>
      <c r="E414" s="42"/>
    </row>
    <row r="415" ht="15.75" customHeight="1">
      <c r="D415" s="42"/>
      <c r="E415" s="42"/>
    </row>
    <row r="416" ht="15.75" customHeight="1">
      <c r="D416" s="42"/>
      <c r="E416" s="42"/>
    </row>
    <row r="417" ht="15.75" customHeight="1">
      <c r="D417" s="42"/>
      <c r="E417" s="42"/>
    </row>
    <row r="418" ht="15.75" customHeight="1">
      <c r="D418" s="42"/>
      <c r="E418" s="42"/>
    </row>
    <row r="419" ht="15.75" customHeight="1">
      <c r="D419" s="42"/>
      <c r="E419" s="42"/>
    </row>
    <row r="420" ht="15.75" customHeight="1">
      <c r="D420" s="42"/>
      <c r="E420" s="42"/>
    </row>
    <row r="421" ht="15.75" customHeight="1">
      <c r="D421" s="42"/>
      <c r="E421" s="42"/>
    </row>
    <row r="422" ht="15.75" customHeight="1">
      <c r="D422" s="42"/>
      <c r="E422" s="42"/>
    </row>
    <row r="423" ht="15.75" customHeight="1">
      <c r="D423" s="42"/>
      <c r="E423" s="42"/>
    </row>
    <row r="424" ht="15.75" customHeight="1">
      <c r="D424" s="42"/>
      <c r="E424" s="42"/>
    </row>
    <row r="425" ht="15.75" customHeight="1">
      <c r="D425" s="42"/>
      <c r="E425" s="42"/>
    </row>
    <row r="426" ht="15.75" customHeight="1">
      <c r="D426" s="42"/>
      <c r="E426" s="42"/>
    </row>
    <row r="427" ht="15.75" customHeight="1">
      <c r="D427" s="42"/>
      <c r="E427" s="42"/>
    </row>
    <row r="428" ht="15.75" customHeight="1">
      <c r="D428" s="42"/>
      <c r="E428" s="42"/>
    </row>
    <row r="429" ht="15.75" customHeight="1">
      <c r="D429" s="42"/>
      <c r="E429" s="42"/>
    </row>
    <row r="430" ht="15.75" customHeight="1">
      <c r="D430" s="42"/>
      <c r="E430" s="42"/>
    </row>
    <row r="431" ht="15.75" customHeight="1">
      <c r="D431" s="42"/>
      <c r="E431" s="42"/>
    </row>
    <row r="432" ht="15.75" customHeight="1">
      <c r="D432" s="42"/>
      <c r="E432" s="42"/>
    </row>
    <row r="433" ht="15.75" customHeight="1">
      <c r="D433" s="42"/>
      <c r="E433" s="42"/>
    </row>
    <row r="434" ht="15.75" customHeight="1">
      <c r="D434" s="42"/>
      <c r="E434" s="42"/>
    </row>
    <row r="435" ht="15.75" customHeight="1">
      <c r="D435" s="42"/>
      <c r="E435" s="42"/>
    </row>
    <row r="436" ht="15.75" customHeight="1">
      <c r="D436" s="42"/>
      <c r="E436" s="42"/>
    </row>
    <row r="437" ht="15.75" customHeight="1">
      <c r="D437" s="42"/>
      <c r="E437" s="42"/>
    </row>
    <row r="438" ht="15.75" customHeight="1">
      <c r="D438" s="42"/>
      <c r="E438" s="42"/>
    </row>
    <row r="439" ht="15.75" customHeight="1">
      <c r="D439" s="42"/>
      <c r="E439" s="42"/>
    </row>
    <row r="440" ht="15.75" customHeight="1">
      <c r="D440" s="42"/>
      <c r="E440" s="42"/>
    </row>
    <row r="441" ht="15.75" customHeight="1">
      <c r="D441" s="42"/>
      <c r="E441" s="42"/>
    </row>
    <row r="442" ht="15.75" customHeight="1">
      <c r="D442" s="42"/>
      <c r="E442" s="42"/>
    </row>
    <row r="443" ht="15.75" customHeight="1">
      <c r="D443" s="42"/>
      <c r="E443" s="42"/>
    </row>
    <row r="444" ht="15.75" customHeight="1">
      <c r="D444" s="42"/>
      <c r="E444" s="42"/>
    </row>
    <row r="445" ht="15.75" customHeight="1">
      <c r="D445" s="42"/>
      <c r="E445" s="42"/>
    </row>
    <row r="446" ht="15.75" customHeight="1">
      <c r="D446" s="42"/>
      <c r="E446" s="42"/>
    </row>
    <row r="447" ht="15.75" customHeight="1">
      <c r="D447" s="42"/>
      <c r="E447" s="42"/>
    </row>
    <row r="448" ht="15.75" customHeight="1">
      <c r="D448" s="42"/>
      <c r="E448" s="42"/>
    </row>
    <row r="449" ht="15.75" customHeight="1">
      <c r="D449" s="42"/>
      <c r="E449" s="42"/>
    </row>
    <row r="450" ht="15.75" customHeight="1">
      <c r="D450" s="42"/>
      <c r="E450" s="42"/>
    </row>
    <row r="451" ht="15.75" customHeight="1">
      <c r="D451" s="42"/>
      <c r="E451" s="42"/>
    </row>
    <row r="452" ht="15.75" customHeight="1">
      <c r="D452" s="42"/>
      <c r="E452" s="42"/>
    </row>
    <row r="453" ht="15.75" customHeight="1">
      <c r="D453" s="42"/>
      <c r="E453" s="42"/>
    </row>
    <row r="454" ht="15.75" customHeight="1">
      <c r="D454" s="42"/>
      <c r="E454" s="42"/>
    </row>
    <row r="455" ht="15.75" customHeight="1">
      <c r="D455" s="42"/>
      <c r="E455" s="42"/>
    </row>
    <row r="456" ht="15.75" customHeight="1">
      <c r="D456" s="42"/>
      <c r="E456" s="42"/>
    </row>
    <row r="457" ht="15.75" customHeight="1">
      <c r="D457" s="42"/>
      <c r="E457" s="42"/>
    </row>
    <row r="458" ht="15.75" customHeight="1">
      <c r="D458" s="42"/>
      <c r="E458" s="42"/>
    </row>
    <row r="459" ht="15.75" customHeight="1">
      <c r="D459" s="42"/>
      <c r="E459" s="42"/>
    </row>
    <row r="460" ht="15.75" customHeight="1">
      <c r="D460" s="42"/>
      <c r="E460" s="42"/>
    </row>
    <row r="461" ht="15.75" customHeight="1">
      <c r="D461" s="42"/>
      <c r="E461" s="42"/>
    </row>
    <row r="462" ht="15.75" customHeight="1">
      <c r="D462" s="42"/>
      <c r="E462" s="42"/>
    </row>
    <row r="463" ht="15.75" customHeight="1">
      <c r="D463" s="42"/>
      <c r="E463" s="42"/>
    </row>
    <row r="464" ht="15.75" customHeight="1">
      <c r="D464" s="42"/>
      <c r="E464" s="42"/>
    </row>
    <row r="465" ht="15.75" customHeight="1">
      <c r="D465" s="42"/>
      <c r="E465" s="42"/>
    </row>
    <row r="466" ht="15.75" customHeight="1">
      <c r="D466" s="42"/>
      <c r="E466" s="42"/>
    </row>
    <row r="467" ht="15.75" customHeight="1">
      <c r="D467" s="42"/>
      <c r="E467" s="42"/>
    </row>
    <row r="468" ht="15.75" customHeight="1">
      <c r="D468" s="42"/>
      <c r="E468" s="42"/>
    </row>
    <row r="469" ht="15.75" customHeight="1">
      <c r="D469" s="42"/>
      <c r="E469" s="42"/>
    </row>
    <row r="470" ht="15.75" customHeight="1">
      <c r="D470" s="42"/>
      <c r="E470" s="42"/>
    </row>
    <row r="471" ht="15.75" customHeight="1">
      <c r="D471" s="42"/>
      <c r="E471" s="42"/>
    </row>
    <row r="472" ht="15.75" customHeight="1">
      <c r="D472" s="42"/>
      <c r="E472" s="42"/>
    </row>
    <row r="473" ht="15.75" customHeight="1">
      <c r="D473" s="42"/>
      <c r="E473" s="42"/>
    </row>
    <row r="474" ht="15.75" customHeight="1">
      <c r="D474" s="42"/>
      <c r="E474" s="42"/>
    </row>
    <row r="475" ht="15.75" customHeight="1">
      <c r="D475" s="42"/>
      <c r="E475" s="42"/>
    </row>
    <row r="476" ht="15.75" customHeight="1">
      <c r="D476" s="42"/>
      <c r="E476" s="42"/>
    </row>
    <row r="477" ht="15.75" customHeight="1">
      <c r="D477" s="42"/>
      <c r="E477" s="42"/>
    </row>
    <row r="478" ht="15.75" customHeight="1">
      <c r="D478" s="42"/>
      <c r="E478" s="42"/>
    </row>
    <row r="479" ht="15.75" customHeight="1">
      <c r="D479" s="42"/>
      <c r="E479" s="42"/>
    </row>
    <row r="480" ht="15.75" customHeight="1">
      <c r="D480" s="42"/>
      <c r="E480" s="42"/>
    </row>
    <row r="481" ht="15.75" customHeight="1">
      <c r="D481" s="42"/>
      <c r="E481" s="42"/>
    </row>
    <row r="482" ht="15.75" customHeight="1">
      <c r="D482" s="42"/>
      <c r="E482" s="42"/>
    </row>
    <row r="483" ht="15.75" customHeight="1">
      <c r="D483" s="42"/>
      <c r="E483" s="42"/>
    </row>
    <row r="484" ht="15.75" customHeight="1">
      <c r="D484" s="42"/>
      <c r="E484" s="42"/>
    </row>
    <row r="485" ht="15.75" customHeight="1">
      <c r="D485" s="42"/>
      <c r="E485" s="42"/>
    </row>
    <row r="486" ht="15.75" customHeight="1">
      <c r="D486" s="42"/>
      <c r="E486" s="42"/>
    </row>
    <row r="487" ht="15.75" customHeight="1">
      <c r="D487" s="42"/>
      <c r="E487" s="42"/>
    </row>
    <row r="488" ht="15.75" customHeight="1">
      <c r="D488" s="42"/>
      <c r="E488" s="42"/>
    </row>
    <row r="489" ht="15.75" customHeight="1">
      <c r="D489" s="42"/>
      <c r="E489" s="42"/>
    </row>
    <row r="490" ht="15.75" customHeight="1">
      <c r="D490" s="42"/>
      <c r="E490" s="42"/>
    </row>
    <row r="491" ht="15.75" customHeight="1">
      <c r="D491" s="42"/>
      <c r="E491" s="42"/>
    </row>
    <row r="492" ht="15.75" customHeight="1">
      <c r="D492" s="42"/>
      <c r="E492" s="42"/>
    </row>
    <row r="493" ht="15.75" customHeight="1">
      <c r="D493" s="42"/>
      <c r="E493" s="42"/>
    </row>
    <row r="494" ht="15.75" customHeight="1">
      <c r="D494" s="42"/>
      <c r="E494" s="42"/>
    </row>
    <row r="495" ht="15.75" customHeight="1">
      <c r="D495" s="42"/>
      <c r="E495" s="42"/>
    </row>
    <row r="496" ht="15.75" customHeight="1">
      <c r="D496" s="42"/>
      <c r="E496" s="42"/>
    </row>
    <row r="497" ht="15.75" customHeight="1">
      <c r="D497" s="42"/>
      <c r="E497" s="42"/>
    </row>
    <row r="498" ht="15.75" customHeight="1">
      <c r="D498" s="42"/>
      <c r="E498" s="42"/>
    </row>
    <row r="499" ht="15.75" customHeight="1">
      <c r="D499" s="42"/>
      <c r="E499" s="42"/>
    </row>
    <row r="500" ht="15.75" customHeight="1">
      <c r="D500" s="42"/>
      <c r="E500" s="42"/>
    </row>
    <row r="501" ht="15.75" customHeight="1">
      <c r="D501" s="42"/>
      <c r="E501" s="42"/>
    </row>
    <row r="502" ht="15.75" customHeight="1">
      <c r="D502" s="42"/>
      <c r="E502" s="42"/>
    </row>
    <row r="503" ht="15.75" customHeight="1">
      <c r="D503" s="42"/>
      <c r="E503" s="42"/>
    </row>
    <row r="504" ht="15.75" customHeight="1">
      <c r="D504" s="42"/>
      <c r="E504" s="42"/>
    </row>
    <row r="505" ht="15.75" customHeight="1">
      <c r="D505" s="42"/>
      <c r="E505" s="42"/>
    </row>
    <row r="506" ht="15.75" customHeight="1">
      <c r="D506" s="42"/>
      <c r="E506" s="42"/>
    </row>
    <row r="507" ht="15.75" customHeight="1">
      <c r="D507" s="42"/>
      <c r="E507" s="42"/>
    </row>
    <row r="508" ht="15.75" customHeight="1">
      <c r="D508" s="42"/>
      <c r="E508" s="42"/>
    </row>
    <row r="509" ht="15.75" customHeight="1">
      <c r="D509" s="42"/>
      <c r="E509" s="42"/>
    </row>
    <row r="510" ht="15.75" customHeight="1">
      <c r="D510" s="42"/>
      <c r="E510" s="42"/>
    </row>
    <row r="511" ht="15.75" customHeight="1">
      <c r="D511" s="42"/>
      <c r="E511" s="42"/>
    </row>
    <row r="512" ht="15.75" customHeight="1">
      <c r="D512" s="42"/>
      <c r="E512" s="42"/>
    </row>
    <row r="513" ht="15.75" customHeight="1">
      <c r="D513" s="42"/>
      <c r="E513" s="42"/>
    </row>
    <row r="514" ht="15.75" customHeight="1">
      <c r="D514" s="42"/>
      <c r="E514" s="42"/>
    </row>
    <row r="515" ht="15.75" customHeight="1">
      <c r="D515" s="42"/>
      <c r="E515" s="42"/>
    </row>
    <row r="516" ht="15.75" customHeight="1">
      <c r="D516" s="42"/>
      <c r="E516" s="42"/>
    </row>
    <row r="517" ht="15.75" customHeight="1">
      <c r="D517" s="42"/>
      <c r="E517" s="42"/>
    </row>
    <row r="518" ht="15.75" customHeight="1">
      <c r="D518" s="42"/>
      <c r="E518" s="42"/>
    </row>
    <row r="519" ht="15.75" customHeight="1">
      <c r="D519" s="42"/>
      <c r="E519" s="42"/>
    </row>
    <row r="520" ht="15.75" customHeight="1">
      <c r="D520" s="42"/>
      <c r="E520" s="42"/>
    </row>
    <row r="521" ht="15.75" customHeight="1">
      <c r="D521" s="42"/>
      <c r="E521" s="42"/>
    </row>
    <row r="522" ht="15.75" customHeight="1">
      <c r="D522" s="42"/>
      <c r="E522" s="42"/>
    </row>
    <row r="523" ht="15.75" customHeight="1">
      <c r="D523" s="42"/>
      <c r="E523" s="42"/>
    </row>
    <row r="524" ht="15.75" customHeight="1">
      <c r="D524" s="42"/>
      <c r="E524" s="42"/>
    </row>
    <row r="525" ht="15.75" customHeight="1">
      <c r="D525" s="42"/>
      <c r="E525" s="42"/>
    </row>
    <row r="526" ht="15.75" customHeight="1">
      <c r="D526" s="42"/>
      <c r="E526" s="42"/>
    </row>
    <row r="527" ht="15.75" customHeight="1">
      <c r="D527" s="42"/>
      <c r="E527" s="42"/>
    </row>
    <row r="528" ht="15.75" customHeight="1">
      <c r="D528" s="42"/>
      <c r="E528" s="42"/>
    </row>
    <row r="529" ht="15.75" customHeight="1">
      <c r="D529" s="42"/>
      <c r="E529" s="42"/>
    </row>
    <row r="530" ht="15.75" customHeight="1">
      <c r="D530" s="42"/>
      <c r="E530" s="42"/>
    </row>
    <row r="531" ht="15.75" customHeight="1">
      <c r="D531" s="42"/>
      <c r="E531" s="42"/>
    </row>
    <row r="532" ht="15.75" customHeight="1">
      <c r="D532" s="42"/>
      <c r="E532" s="42"/>
    </row>
    <row r="533" ht="15.75" customHeight="1">
      <c r="D533" s="42"/>
      <c r="E533" s="42"/>
    </row>
    <row r="534" ht="15.75" customHeight="1">
      <c r="D534" s="42"/>
      <c r="E534" s="42"/>
    </row>
    <row r="535" ht="15.75" customHeight="1">
      <c r="D535" s="42"/>
      <c r="E535" s="42"/>
    </row>
    <row r="536" ht="15.75" customHeight="1">
      <c r="D536" s="42"/>
      <c r="E536" s="42"/>
    </row>
    <row r="537" ht="15.75" customHeight="1">
      <c r="D537" s="42"/>
      <c r="E537" s="42"/>
    </row>
    <row r="538" ht="15.75" customHeight="1">
      <c r="D538" s="42"/>
      <c r="E538" s="42"/>
    </row>
    <row r="539" ht="15.75" customHeight="1">
      <c r="D539" s="42"/>
      <c r="E539" s="42"/>
    </row>
    <row r="540" ht="15.75" customHeight="1">
      <c r="D540" s="42"/>
      <c r="E540" s="42"/>
    </row>
    <row r="541" ht="15.75" customHeight="1">
      <c r="D541" s="42"/>
      <c r="E541" s="42"/>
    </row>
    <row r="542" ht="15.75" customHeight="1">
      <c r="D542" s="42"/>
      <c r="E542" s="42"/>
    </row>
    <row r="543" ht="15.75" customHeight="1">
      <c r="D543" s="42"/>
      <c r="E543" s="42"/>
    </row>
    <row r="544" ht="15.75" customHeight="1">
      <c r="D544" s="42"/>
      <c r="E544" s="42"/>
    </row>
    <row r="545" ht="15.75" customHeight="1">
      <c r="D545" s="42"/>
      <c r="E545" s="42"/>
    </row>
    <row r="546" ht="15.75" customHeight="1">
      <c r="D546" s="42"/>
      <c r="E546" s="42"/>
    </row>
    <row r="547" ht="15.75" customHeight="1">
      <c r="D547" s="42"/>
      <c r="E547" s="42"/>
    </row>
    <row r="548" ht="15.75" customHeight="1">
      <c r="D548" s="42"/>
      <c r="E548" s="42"/>
    </row>
    <row r="549" ht="15.75" customHeight="1">
      <c r="D549" s="42"/>
      <c r="E549" s="42"/>
    </row>
    <row r="550" ht="15.75" customHeight="1">
      <c r="D550" s="42"/>
      <c r="E550" s="42"/>
    </row>
    <row r="551" ht="15.75" customHeight="1">
      <c r="D551" s="42"/>
      <c r="E551" s="42"/>
    </row>
    <row r="552" ht="15.75" customHeight="1">
      <c r="D552" s="42"/>
      <c r="E552" s="42"/>
    </row>
    <row r="553" ht="15.75" customHeight="1">
      <c r="D553" s="42"/>
      <c r="E553" s="42"/>
    </row>
    <row r="554" ht="15.75" customHeight="1">
      <c r="D554" s="42"/>
      <c r="E554" s="42"/>
    </row>
    <row r="555" ht="15.75" customHeight="1">
      <c r="D555" s="42"/>
      <c r="E555" s="42"/>
    </row>
    <row r="556" ht="15.75" customHeight="1">
      <c r="D556" s="42"/>
      <c r="E556" s="42"/>
    </row>
    <row r="557" ht="15.75" customHeight="1">
      <c r="D557" s="42"/>
      <c r="E557" s="42"/>
    </row>
    <row r="558" ht="15.75" customHeight="1">
      <c r="D558" s="42"/>
      <c r="E558" s="42"/>
    </row>
    <row r="559" ht="15.75" customHeight="1">
      <c r="D559" s="42"/>
      <c r="E559" s="42"/>
    </row>
    <row r="560" ht="15.75" customHeight="1">
      <c r="D560" s="42"/>
      <c r="E560" s="42"/>
    </row>
    <row r="561" ht="15.75" customHeight="1">
      <c r="D561" s="42"/>
      <c r="E561" s="42"/>
    </row>
    <row r="562" ht="15.75" customHeight="1">
      <c r="D562" s="42"/>
      <c r="E562" s="42"/>
    </row>
    <row r="563" ht="15.75" customHeight="1">
      <c r="D563" s="42"/>
      <c r="E563" s="42"/>
    </row>
    <row r="564" ht="15.75" customHeight="1">
      <c r="D564" s="42"/>
      <c r="E564" s="42"/>
    </row>
    <row r="565" ht="15.75" customHeight="1">
      <c r="D565" s="42"/>
      <c r="E565" s="42"/>
    </row>
    <row r="566" ht="15.75" customHeight="1">
      <c r="D566" s="42"/>
      <c r="E566" s="42"/>
    </row>
    <row r="567" ht="15.75" customHeight="1">
      <c r="D567" s="42"/>
      <c r="E567" s="42"/>
    </row>
    <row r="568" ht="15.75" customHeight="1">
      <c r="D568" s="42"/>
      <c r="E568" s="42"/>
    </row>
    <row r="569" ht="15.75" customHeight="1">
      <c r="D569" s="42"/>
      <c r="E569" s="42"/>
    </row>
    <row r="570" ht="15.75" customHeight="1">
      <c r="D570" s="42"/>
      <c r="E570" s="42"/>
    </row>
    <row r="571" ht="15.75" customHeight="1">
      <c r="D571" s="42"/>
      <c r="E571" s="42"/>
    </row>
    <row r="572" ht="15.75" customHeight="1">
      <c r="D572" s="42"/>
      <c r="E572" s="42"/>
    </row>
    <row r="573" ht="15.75" customHeight="1">
      <c r="D573" s="42"/>
      <c r="E573" s="42"/>
    </row>
    <row r="574" ht="15.75" customHeight="1">
      <c r="D574" s="42"/>
      <c r="E574" s="42"/>
    </row>
    <row r="575" ht="15.75" customHeight="1">
      <c r="D575" s="42"/>
      <c r="E575" s="42"/>
    </row>
    <row r="576" ht="15.75" customHeight="1">
      <c r="D576" s="42"/>
      <c r="E576" s="42"/>
    </row>
    <row r="577" ht="15.75" customHeight="1">
      <c r="D577" s="42"/>
      <c r="E577" s="42"/>
    </row>
    <row r="578" ht="15.75" customHeight="1">
      <c r="D578" s="42"/>
      <c r="E578" s="42"/>
    </row>
    <row r="579" ht="15.75" customHeight="1">
      <c r="D579" s="42"/>
      <c r="E579" s="42"/>
    </row>
    <row r="580" ht="15.75" customHeight="1">
      <c r="D580" s="42"/>
      <c r="E580" s="42"/>
    </row>
    <row r="581" ht="15.75" customHeight="1">
      <c r="D581" s="42"/>
      <c r="E581" s="42"/>
    </row>
    <row r="582" ht="15.75" customHeight="1">
      <c r="D582" s="42"/>
      <c r="E582" s="42"/>
    </row>
    <row r="583" ht="15.75" customHeight="1">
      <c r="D583" s="42"/>
      <c r="E583" s="42"/>
    </row>
    <row r="584" ht="15.75" customHeight="1">
      <c r="D584" s="42"/>
      <c r="E584" s="42"/>
    </row>
    <row r="585" ht="15.75" customHeight="1">
      <c r="D585" s="42"/>
      <c r="E585" s="42"/>
    </row>
    <row r="586" ht="15.75" customHeight="1">
      <c r="D586" s="42"/>
      <c r="E586" s="42"/>
    </row>
    <row r="587" ht="15.75" customHeight="1">
      <c r="D587" s="42"/>
      <c r="E587" s="42"/>
    </row>
    <row r="588" ht="15.75" customHeight="1">
      <c r="D588" s="42"/>
      <c r="E588" s="42"/>
    </row>
    <row r="589" ht="15.75" customHeight="1">
      <c r="D589" s="42"/>
      <c r="E589" s="42"/>
    </row>
    <row r="590" ht="15.75" customHeight="1">
      <c r="D590" s="42"/>
      <c r="E590" s="42"/>
    </row>
    <row r="591" ht="15.75" customHeight="1">
      <c r="D591" s="42"/>
      <c r="E591" s="42"/>
    </row>
    <row r="592" ht="15.75" customHeight="1">
      <c r="D592" s="42"/>
      <c r="E592" s="42"/>
    </row>
    <row r="593" ht="15.75" customHeight="1">
      <c r="D593" s="42"/>
      <c r="E593" s="42"/>
    </row>
    <row r="594" ht="15.75" customHeight="1">
      <c r="D594" s="42"/>
      <c r="E594" s="42"/>
    </row>
    <row r="595" ht="15.75" customHeight="1">
      <c r="D595" s="42"/>
      <c r="E595" s="42"/>
    </row>
    <row r="596" ht="15.75" customHeight="1">
      <c r="D596" s="42"/>
      <c r="E596" s="42"/>
    </row>
    <row r="597" ht="15.75" customHeight="1">
      <c r="D597" s="42"/>
      <c r="E597" s="42"/>
    </row>
    <row r="598" ht="15.75" customHeight="1">
      <c r="D598" s="42"/>
      <c r="E598" s="42"/>
    </row>
    <row r="599" ht="15.75" customHeight="1">
      <c r="D599" s="42"/>
      <c r="E599" s="42"/>
    </row>
    <row r="600" ht="15.75" customHeight="1">
      <c r="D600" s="42"/>
      <c r="E600" s="42"/>
    </row>
    <row r="601" ht="15.75" customHeight="1">
      <c r="D601" s="42"/>
      <c r="E601" s="42"/>
    </row>
    <row r="602" ht="15.75" customHeight="1">
      <c r="D602" s="42"/>
      <c r="E602" s="42"/>
    </row>
    <row r="603" ht="15.75" customHeight="1">
      <c r="D603" s="42"/>
      <c r="E603" s="42"/>
    </row>
    <row r="604" ht="15.75" customHeight="1">
      <c r="D604" s="42"/>
      <c r="E604" s="42"/>
    </row>
    <row r="605" ht="15.75" customHeight="1">
      <c r="D605" s="42"/>
      <c r="E605" s="42"/>
    </row>
    <row r="606" ht="15.75" customHeight="1">
      <c r="D606" s="42"/>
      <c r="E606" s="42"/>
    </row>
    <row r="607" ht="15.75" customHeight="1">
      <c r="D607" s="42"/>
      <c r="E607" s="42"/>
    </row>
    <row r="608" ht="15.75" customHeight="1">
      <c r="D608" s="42"/>
      <c r="E608" s="42"/>
    </row>
    <row r="609" ht="15.75" customHeight="1">
      <c r="D609" s="42"/>
      <c r="E609" s="42"/>
    </row>
    <row r="610" ht="15.75" customHeight="1">
      <c r="D610" s="42"/>
      <c r="E610" s="42"/>
    </row>
    <row r="611" ht="15.75" customHeight="1">
      <c r="D611" s="42"/>
      <c r="E611" s="42"/>
    </row>
    <row r="612" ht="15.75" customHeight="1">
      <c r="D612" s="42"/>
      <c r="E612" s="42"/>
    </row>
    <row r="613" ht="15.75" customHeight="1">
      <c r="D613" s="42"/>
      <c r="E613" s="42"/>
    </row>
    <row r="614" ht="15.75" customHeight="1">
      <c r="D614" s="42"/>
      <c r="E614" s="42"/>
    </row>
    <row r="615" ht="15.75" customHeight="1">
      <c r="D615" s="42"/>
      <c r="E615" s="42"/>
    </row>
    <row r="616" ht="15.75" customHeight="1">
      <c r="D616" s="42"/>
      <c r="E616" s="42"/>
    </row>
    <row r="617" ht="15.75" customHeight="1">
      <c r="D617" s="42"/>
      <c r="E617" s="42"/>
    </row>
    <row r="618" ht="15.75" customHeight="1">
      <c r="D618" s="42"/>
      <c r="E618" s="42"/>
    </row>
    <row r="619" ht="15.75" customHeight="1">
      <c r="D619" s="42"/>
      <c r="E619" s="42"/>
    </row>
    <row r="620" ht="15.75" customHeight="1">
      <c r="D620" s="42"/>
      <c r="E620" s="42"/>
    </row>
    <row r="621" ht="15.75" customHeight="1">
      <c r="D621" s="42"/>
      <c r="E621" s="42"/>
    </row>
    <row r="622" ht="15.75" customHeight="1">
      <c r="D622" s="42"/>
      <c r="E622" s="42"/>
    </row>
    <row r="623" ht="15.75" customHeight="1">
      <c r="D623" s="42"/>
      <c r="E623" s="42"/>
    </row>
    <row r="624" ht="15.75" customHeight="1">
      <c r="D624" s="42"/>
      <c r="E624" s="42"/>
    </row>
    <row r="625" ht="15.75" customHeight="1">
      <c r="D625" s="42"/>
      <c r="E625" s="42"/>
    </row>
    <row r="626" ht="15.75" customHeight="1">
      <c r="D626" s="42"/>
      <c r="E626" s="42"/>
    </row>
    <row r="627" ht="15.75" customHeight="1">
      <c r="D627" s="42"/>
      <c r="E627" s="42"/>
    </row>
    <row r="628" ht="15.75" customHeight="1">
      <c r="D628" s="42"/>
      <c r="E628" s="42"/>
    </row>
    <row r="629" ht="15.75" customHeight="1">
      <c r="D629" s="42"/>
      <c r="E629" s="42"/>
    </row>
    <row r="630" ht="15.75" customHeight="1">
      <c r="D630" s="42"/>
      <c r="E630" s="42"/>
    </row>
    <row r="631" ht="15.75" customHeight="1">
      <c r="D631" s="42"/>
      <c r="E631" s="42"/>
    </row>
    <row r="632" ht="15.75" customHeight="1">
      <c r="D632" s="42"/>
      <c r="E632" s="42"/>
    </row>
    <row r="633" ht="15.75" customHeight="1">
      <c r="D633" s="42"/>
      <c r="E633" s="42"/>
    </row>
    <row r="634" ht="15.75" customHeight="1">
      <c r="D634" s="42"/>
      <c r="E634" s="42"/>
    </row>
    <row r="635" ht="15.75" customHeight="1">
      <c r="D635" s="42"/>
      <c r="E635" s="42"/>
    </row>
    <row r="636" ht="15.75" customHeight="1">
      <c r="D636" s="42"/>
      <c r="E636" s="42"/>
    </row>
    <row r="637" ht="15.75" customHeight="1">
      <c r="D637" s="42"/>
      <c r="E637" s="42"/>
    </row>
    <row r="638" ht="15.75" customHeight="1">
      <c r="D638" s="42"/>
      <c r="E638" s="42"/>
    </row>
    <row r="639" ht="15.75" customHeight="1">
      <c r="D639" s="42"/>
      <c r="E639" s="42"/>
    </row>
    <row r="640" ht="15.75" customHeight="1">
      <c r="D640" s="42"/>
      <c r="E640" s="42"/>
    </row>
    <row r="641" ht="15.75" customHeight="1">
      <c r="D641" s="42"/>
      <c r="E641" s="42"/>
    </row>
    <row r="642" ht="15.75" customHeight="1">
      <c r="D642" s="42"/>
      <c r="E642" s="42"/>
    </row>
    <row r="643" ht="15.75" customHeight="1">
      <c r="D643" s="42"/>
      <c r="E643" s="42"/>
    </row>
    <row r="644" ht="15.75" customHeight="1">
      <c r="D644" s="42"/>
      <c r="E644" s="42"/>
    </row>
    <row r="645" ht="15.75" customHeight="1">
      <c r="D645" s="42"/>
      <c r="E645" s="42"/>
    </row>
    <row r="646" ht="15.75" customHeight="1">
      <c r="D646" s="42"/>
      <c r="E646" s="42"/>
    </row>
    <row r="647" ht="15.75" customHeight="1">
      <c r="D647" s="42"/>
      <c r="E647" s="42"/>
    </row>
    <row r="648" ht="15.75" customHeight="1">
      <c r="D648" s="42"/>
      <c r="E648" s="42"/>
    </row>
    <row r="649" ht="15.75" customHeight="1">
      <c r="D649" s="42"/>
      <c r="E649" s="42"/>
    </row>
    <row r="650" ht="15.75" customHeight="1">
      <c r="D650" s="42"/>
      <c r="E650" s="42"/>
    </row>
    <row r="651" ht="15.75" customHeight="1">
      <c r="D651" s="42"/>
      <c r="E651" s="42"/>
    </row>
    <row r="652" ht="15.75" customHeight="1">
      <c r="D652" s="42"/>
      <c r="E652" s="42"/>
    </row>
    <row r="653" ht="15.75" customHeight="1">
      <c r="D653" s="42"/>
      <c r="E653" s="42"/>
    </row>
    <row r="654" ht="15.75" customHeight="1">
      <c r="D654" s="42"/>
      <c r="E654" s="42"/>
    </row>
    <row r="655" ht="15.75" customHeight="1">
      <c r="D655" s="42"/>
      <c r="E655" s="42"/>
    </row>
    <row r="656" ht="15.75" customHeight="1">
      <c r="D656" s="42"/>
      <c r="E656" s="42"/>
    </row>
    <row r="657" ht="15.75" customHeight="1">
      <c r="D657" s="42"/>
      <c r="E657" s="42"/>
    </row>
    <row r="658" ht="15.75" customHeight="1">
      <c r="D658" s="42"/>
      <c r="E658" s="42"/>
    </row>
    <row r="659" ht="15.75" customHeight="1">
      <c r="D659" s="42"/>
      <c r="E659" s="42"/>
    </row>
    <row r="660" ht="15.75" customHeight="1">
      <c r="D660" s="42"/>
      <c r="E660" s="42"/>
    </row>
    <row r="661" ht="15.75" customHeight="1">
      <c r="D661" s="42"/>
      <c r="E661" s="42"/>
    </row>
    <row r="662" ht="15.75" customHeight="1">
      <c r="D662" s="42"/>
      <c r="E662" s="42"/>
    </row>
    <row r="663" ht="15.75" customHeight="1">
      <c r="D663" s="42"/>
      <c r="E663" s="42"/>
    </row>
    <row r="664" ht="15.75" customHeight="1">
      <c r="D664" s="42"/>
      <c r="E664" s="42"/>
    </row>
    <row r="665" ht="15.75" customHeight="1">
      <c r="D665" s="42"/>
      <c r="E665" s="42"/>
    </row>
    <row r="666" ht="15.75" customHeight="1">
      <c r="D666" s="42"/>
      <c r="E666" s="42"/>
    </row>
    <row r="667" ht="15.75" customHeight="1">
      <c r="D667" s="42"/>
      <c r="E667" s="42"/>
    </row>
    <row r="668" ht="15.75" customHeight="1">
      <c r="D668" s="42"/>
      <c r="E668" s="42"/>
    </row>
    <row r="669" ht="15.75" customHeight="1">
      <c r="D669" s="42"/>
      <c r="E669" s="42"/>
    </row>
    <row r="670" ht="15.75" customHeight="1">
      <c r="D670" s="42"/>
      <c r="E670" s="42"/>
    </row>
    <row r="671" ht="15.75" customHeight="1">
      <c r="D671" s="42"/>
      <c r="E671" s="42"/>
    </row>
    <row r="672" ht="15.75" customHeight="1">
      <c r="D672" s="42"/>
      <c r="E672" s="42"/>
    </row>
    <row r="673" ht="15.75" customHeight="1">
      <c r="D673" s="42"/>
      <c r="E673" s="42"/>
    </row>
    <row r="674" ht="15.75" customHeight="1">
      <c r="D674" s="42"/>
      <c r="E674" s="42"/>
    </row>
    <row r="675" ht="15.75" customHeight="1">
      <c r="D675" s="42"/>
      <c r="E675" s="42"/>
    </row>
    <row r="676" ht="15.75" customHeight="1">
      <c r="D676" s="42"/>
      <c r="E676" s="42"/>
    </row>
    <row r="677" ht="15.75" customHeight="1">
      <c r="D677" s="42"/>
      <c r="E677" s="42"/>
    </row>
    <row r="678" ht="15.75" customHeight="1">
      <c r="D678" s="42"/>
      <c r="E678" s="42"/>
    </row>
    <row r="679" ht="15.75" customHeight="1">
      <c r="D679" s="42"/>
      <c r="E679" s="42"/>
    </row>
    <row r="680" ht="15.75" customHeight="1">
      <c r="D680" s="42"/>
      <c r="E680" s="42"/>
    </row>
    <row r="681" ht="15.75" customHeight="1">
      <c r="D681" s="42"/>
      <c r="E681" s="42"/>
    </row>
    <row r="682" ht="15.75" customHeight="1">
      <c r="D682" s="42"/>
      <c r="E682" s="42"/>
    </row>
    <row r="683" ht="15.75" customHeight="1">
      <c r="D683" s="42"/>
      <c r="E683" s="42"/>
    </row>
    <row r="684" ht="15.75" customHeight="1">
      <c r="D684" s="42"/>
      <c r="E684" s="42"/>
    </row>
    <row r="685" ht="15.75" customHeight="1">
      <c r="D685" s="42"/>
      <c r="E685" s="42"/>
    </row>
    <row r="686" ht="15.75" customHeight="1">
      <c r="D686" s="42"/>
      <c r="E686" s="42"/>
    </row>
    <row r="687" ht="15.75" customHeight="1">
      <c r="D687" s="42"/>
      <c r="E687" s="42"/>
    </row>
    <row r="688" ht="15.75" customHeight="1">
      <c r="D688" s="42"/>
      <c r="E688" s="42"/>
    </row>
    <row r="689" ht="15.75" customHeight="1">
      <c r="D689" s="42"/>
      <c r="E689" s="42"/>
    </row>
    <row r="690" ht="15.75" customHeight="1">
      <c r="D690" s="42"/>
      <c r="E690" s="42"/>
    </row>
    <row r="691" ht="15.75" customHeight="1">
      <c r="D691" s="42"/>
      <c r="E691" s="42"/>
    </row>
    <row r="692" ht="15.75" customHeight="1">
      <c r="D692" s="42"/>
      <c r="E692" s="42"/>
    </row>
    <row r="693" ht="15.75" customHeight="1">
      <c r="D693" s="42"/>
      <c r="E693" s="42"/>
    </row>
    <row r="694" ht="15.75" customHeight="1">
      <c r="D694" s="42"/>
      <c r="E694" s="42"/>
    </row>
    <row r="695" ht="15.75" customHeight="1">
      <c r="D695" s="42"/>
      <c r="E695" s="42"/>
    </row>
    <row r="696" ht="15.75" customHeight="1">
      <c r="D696" s="42"/>
      <c r="E696" s="42"/>
    </row>
    <row r="697" ht="15.75" customHeight="1">
      <c r="D697" s="42"/>
      <c r="E697" s="42"/>
    </row>
    <row r="698" ht="15.75" customHeight="1">
      <c r="D698" s="42"/>
      <c r="E698" s="42"/>
    </row>
    <row r="699" ht="15.75" customHeight="1">
      <c r="D699" s="42"/>
      <c r="E699" s="42"/>
    </row>
    <row r="700" ht="15.75" customHeight="1">
      <c r="D700" s="42"/>
      <c r="E700" s="42"/>
    </row>
    <row r="701" ht="15.75" customHeight="1">
      <c r="D701" s="42"/>
      <c r="E701" s="42"/>
    </row>
    <row r="702" ht="15.75" customHeight="1">
      <c r="D702" s="42"/>
      <c r="E702" s="42"/>
    </row>
    <row r="703" ht="15.75" customHeight="1">
      <c r="D703" s="42"/>
      <c r="E703" s="42"/>
    </row>
    <row r="704" ht="15.75" customHeight="1">
      <c r="D704" s="42"/>
      <c r="E704" s="42"/>
    </row>
    <row r="705" ht="15.75" customHeight="1">
      <c r="D705" s="42"/>
      <c r="E705" s="42"/>
    </row>
    <row r="706" ht="15.75" customHeight="1">
      <c r="D706" s="42"/>
      <c r="E706" s="42"/>
    </row>
    <row r="707" ht="15.75" customHeight="1">
      <c r="D707" s="42"/>
      <c r="E707" s="42"/>
    </row>
    <row r="708" ht="15.75" customHeight="1">
      <c r="D708" s="42"/>
      <c r="E708" s="42"/>
    </row>
    <row r="709" ht="15.75" customHeight="1">
      <c r="D709" s="42"/>
      <c r="E709" s="42"/>
    </row>
    <row r="710" ht="15.75" customHeight="1">
      <c r="D710" s="42"/>
      <c r="E710" s="42"/>
    </row>
    <row r="711" ht="15.75" customHeight="1">
      <c r="D711" s="42"/>
      <c r="E711" s="42"/>
    </row>
    <row r="712" ht="15.75" customHeight="1">
      <c r="D712" s="42"/>
      <c r="E712" s="42"/>
    </row>
    <row r="713" ht="15.75" customHeight="1">
      <c r="D713" s="42"/>
      <c r="E713" s="42"/>
    </row>
    <row r="714" ht="15.75" customHeight="1">
      <c r="D714" s="42"/>
      <c r="E714" s="42"/>
    </row>
    <row r="715" ht="15.75" customHeight="1">
      <c r="D715" s="42"/>
      <c r="E715" s="42"/>
    </row>
    <row r="716" ht="15.75" customHeight="1">
      <c r="D716" s="42"/>
      <c r="E716" s="42"/>
    </row>
    <row r="717" ht="15.75" customHeight="1">
      <c r="D717" s="42"/>
      <c r="E717" s="42"/>
    </row>
    <row r="718" ht="15.75" customHeight="1">
      <c r="D718" s="42"/>
      <c r="E718" s="42"/>
    </row>
    <row r="719" ht="15.75" customHeight="1">
      <c r="D719" s="42"/>
      <c r="E719" s="42"/>
    </row>
    <row r="720" ht="15.75" customHeight="1">
      <c r="D720" s="42"/>
      <c r="E720" s="42"/>
    </row>
    <row r="721" ht="15.75" customHeight="1">
      <c r="D721" s="42"/>
      <c r="E721" s="42"/>
    </row>
    <row r="722" ht="15.75" customHeight="1">
      <c r="D722" s="42"/>
      <c r="E722" s="42"/>
    </row>
    <row r="723" ht="15.75" customHeight="1">
      <c r="D723" s="42"/>
      <c r="E723" s="42"/>
    </row>
    <row r="724" ht="15.75" customHeight="1">
      <c r="D724" s="42"/>
      <c r="E724" s="42"/>
    </row>
    <row r="725" ht="15.75" customHeight="1">
      <c r="D725" s="42"/>
      <c r="E725" s="42"/>
    </row>
    <row r="726" ht="15.75" customHeight="1">
      <c r="D726" s="42"/>
      <c r="E726" s="42"/>
    </row>
    <row r="727" ht="15.75" customHeight="1">
      <c r="D727" s="42"/>
      <c r="E727" s="42"/>
    </row>
    <row r="728" ht="15.75" customHeight="1">
      <c r="D728" s="42"/>
      <c r="E728" s="42"/>
    </row>
    <row r="729" ht="15.75" customHeight="1">
      <c r="D729" s="42"/>
      <c r="E729" s="42"/>
    </row>
    <row r="730" ht="15.75" customHeight="1">
      <c r="D730" s="42"/>
      <c r="E730" s="42"/>
    </row>
    <row r="731" ht="15.75" customHeight="1">
      <c r="D731" s="42"/>
      <c r="E731" s="42"/>
    </row>
    <row r="732" ht="15.75" customHeight="1">
      <c r="D732" s="42"/>
      <c r="E732" s="42"/>
    </row>
    <row r="733" ht="15.75" customHeight="1">
      <c r="D733" s="42"/>
      <c r="E733" s="42"/>
    </row>
    <row r="734" ht="15.75" customHeight="1">
      <c r="D734" s="42"/>
      <c r="E734" s="42"/>
    </row>
    <row r="735" ht="15.75" customHeight="1">
      <c r="D735" s="42"/>
      <c r="E735" s="42"/>
    </row>
    <row r="736" ht="15.75" customHeight="1">
      <c r="D736" s="42"/>
      <c r="E736" s="42"/>
    </row>
    <row r="737" ht="15.75" customHeight="1">
      <c r="D737" s="42"/>
      <c r="E737" s="42"/>
    </row>
    <row r="738" ht="15.75" customHeight="1">
      <c r="D738" s="42"/>
      <c r="E738" s="42"/>
    </row>
    <row r="739" ht="15.75" customHeight="1">
      <c r="D739" s="42"/>
      <c r="E739" s="42"/>
    </row>
    <row r="740" ht="15.75" customHeight="1">
      <c r="D740" s="42"/>
      <c r="E740" s="42"/>
    </row>
    <row r="741" ht="15.75" customHeight="1">
      <c r="D741" s="42"/>
      <c r="E741" s="42"/>
    </row>
    <row r="742" ht="15.75" customHeight="1">
      <c r="D742" s="42"/>
      <c r="E742" s="42"/>
    </row>
    <row r="743" ht="15.75" customHeight="1">
      <c r="D743" s="42"/>
      <c r="E743" s="42"/>
    </row>
    <row r="744" ht="15.75" customHeight="1">
      <c r="D744" s="42"/>
      <c r="E744" s="42"/>
    </row>
    <row r="745" ht="15.75" customHeight="1">
      <c r="D745" s="42"/>
      <c r="E745" s="42"/>
    </row>
    <row r="746" ht="15.75" customHeight="1">
      <c r="D746" s="42"/>
      <c r="E746" s="42"/>
    </row>
    <row r="747" ht="15.75" customHeight="1">
      <c r="D747" s="42"/>
      <c r="E747" s="42"/>
    </row>
    <row r="748" ht="15.75" customHeight="1">
      <c r="D748" s="42"/>
      <c r="E748" s="42"/>
    </row>
    <row r="749" ht="15.75" customHeight="1">
      <c r="D749" s="42"/>
      <c r="E749" s="42"/>
    </row>
    <row r="750" ht="15.75" customHeight="1">
      <c r="D750" s="42"/>
      <c r="E750" s="42"/>
    </row>
    <row r="751" ht="15.75" customHeight="1">
      <c r="D751" s="42"/>
      <c r="E751" s="42"/>
    </row>
    <row r="752" ht="15.75" customHeight="1">
      <c r="D752" s="42"/>
      <c r="E752" s="42"/>
    </row>
    <row r="753" ht="15.75" customHeight="1">
      <c r="D753" s="42"/>
      <c r="E753" s="42"/>
    </row>
    <row r="754" ht="15.75" customHeight="1">
      <c r="D754" s="42"/>
      <c r="E754" s="42"/>
    </row>
    <row r="755" ht="15.75" customHeight="1">
      <c r="D755" s="42"/>
      <c r="E755" s="42"/>
    </row>
    <row r="756" ht="15.75" customHeight="1">
      <c r="D756" s="42"/>
      <c r="E756" s="42"/>
    </row>
    <row r="757" ht="15.75" customHeight="1">
      <c r="D757" s="42"/>
      <c r="E757" s="42"/>
    </row>
    <row r="758" ht="15.75" customHeight="1">
      <c r="D758" s="42"/>
      <c r="E758" s="42"/>
    </row>
    <row r="759" ht="15.75" customHeight="1">
      <c r="D759" s="42"/>
      <c r="E759" s="42"/>
    </row>
    <row r="760" ht="15.75" customHeight="1">
      <c r="D760" s="42"/>
      <c r="E760" s="42"/>
    </row>
    <row r="761" ht="15.75" customHeight="1">
      <c r="D761" s="42"/>
      <c r="E761" s="42"/>
    </row>
    <row r="762" ht="15.75" customHeight="1">
      <c r="D762" s="42"/>
      <c r="E762" s="42"/>
    </row>
    <row r="763" ht="15.75" customHeight="1">
      <c r="D763" s="42"/>
      <c r="E763" s="42"/>
    </row>
    <row r="764" ht="15.75" customHeight="1">
      <c r="D764" s="42"/>
      <c r="E764" s="42"/>
    </row>
    <row r="765" ht="15.75" customHeight="1">
      <c r="D765" s="42"/>
      <c r="E765" s="42"/>
    </row>
    <row r="766" ht="15.75" customHeight="1">
      <c r="D766" s="42"/>
      <c r="E766" s="42"/>
    </row>
    <row r="767" ht="15.75" customHeight="1">
      <c r="D767" s="42"/>
      <c r="E767" s="42"/>
    </row>
    <row r="768" ht="15.75" customHeight="1">
      <c r="D768" s="42"/>
      <c r="E768" s="42"/>
    </row>
    <row r="769" ht="15.75" customHeight="1">
      <c r="D769" s="42"/>
      <c r="E769" s="42"/>
    </row>
    <row r="770" ht="15.75" customHeight="1">
      <c r="D770" s="42"/>
      <c r="E770" s="42"/>
    </row>
    <row r="771" ht="15.75" customHeight="1">
      <c r="D771" s="42"/>
      <c r="E771" s="42"/>
    </row>
    <row r="772" ht="15.75" customHeight="1">
      <c r="D772" s="42"/>
      <c r="E772" s="42"/>
    </row>
    <row r="773" ht="15.75" customHeight="1">
      <c r="D773" s="42"/>
      <c r="E773" s="42"/>
    </row>
    <row r="774" ht="15.75" customHeight="1">
      <c r="D774" s="42"/>
      <c r="E774" s="42"/>
    </row>
    <row r="775" ht="15.75" customHeight="1">
      <c r="D775" s="42"/>
      <c r="E775" s="42"/>
    </row>
    <row r="776" ht="15.75" customHeight="1">
      <c r="D776" s="42"/>
      <c r="E776" s="42"/>
    </row>
    <row r="777" ht="15.75" customHeight="1">
      <c r="D777" s="42"/>
      <c r="E777" s="42"/>
    </row>
    <row r="778" ht="15.75" customHeight="1">
      <c r="D778" s="42"/>
      <c r="E778" s="42"/>
    </row>
    <row r="779" ht="15.75" customHeight="1">
      <c r="D779" s="42"/>
      <c r="E779" s="42"/>
    </row>
    <row r="780" ht="15.75" customHeight="1">
      <c r="D780" s="42"/>
      <c r="E780" s="42"/>
    </row>
    <row r="781" ht="15.75" customHeight="1">
      <c r="D781" s="42"/>
      <c r="E781" s="42"/>
    </row>
    <row r="782" ht="15.75" customHeight="1">
      <c r="D782" s="42"/>
      <c r="E782" s="42"/>
    </row>
    <row r="783" ht="15.75" customHeight="1">
      <c r="D783" s="42"/>
      <c r="E783" s="42"/>
    </row>
    <row r="784" ht="15.75" customHeight="1">
      <c r="D784" s="42"/>
      <c r="E784" s="42"/>
    </row>
    <row r="785" ht="15.75" customHeight="1">
      <c r="D785" s="42"/>
      <c r="E785" s="42"/>
    </row>
    <row r="786" ht="15.75" customHeight="1">
      <c r="D786" s="42"/>
      <c r="E786" s="42"/>
    </row>
    <row r="787" ht="15.75" customHeight="1">
      <c r="D787" s="42"/>
      <c r="E787" s="42"/>
    </row>
    <row r="788" ht="15.75" customHeight="1">
      <c r="D788" s="42"/>
      <c r="E788" s="42"/>
    </row>
    <row r="789" ht="15.75" customHeight="1">
      <c r="D789" s="42"/>
      <c r="E789" s="42"/>
    </row>
    <row r="790" ht="15.75" customHeight="1">
      <c r="D790" s="42"/>
      <c r="E790" s="42"/>
    </row>
    <row r="791" ht="15.75" customHeight="1">
      <c r="D791" s="42"/>
      <c r="E791" s="42"/>
    </row>
    <row r="792" ht="15.75" customHeight="1">
      <c r="D792" s="42"/>
      <c r="E792" s="42"/>
    </row>
    <row r="793" ht="15.75" customHeight="1">
      <c r="D793" s="42"/>
      <c r="E793" s="42"/>
    </row>
    <row r="794" ht="15.75" customHeight="1">
      <c r="D794" s="42"/>
      <c r="E794" s="42"/>
    </row>
    <row r="795" ht="15.75" customHeight="1">
      <c r="D795" s="42"/>
      <c r="E795" s="42"/>
    </row>
    <row r="796" ht="15.75" customHeight="1">
      <c r="D796" s="42"/>
      <c r="E796" s="42"/>
    </row>
    <row r="797" ht="15.75" customHeight="1">
      <c r="D797" s="42"/>
      <c r="E797" s="42"/>
    </row>
    <row r="798" ht="15.75" customHeight="1">
      <c r="D798" s="42"/>
      <c r="E798" s="42"/>
    </row>
    <row r="799" ht="15.75" customHeight="1">
      <c r="D799" s="42"/>
      <c r="E799" s="42"/>
    </row>
    <row r="800" ht="15.75" customHeight="1">
      <c r="D800" s="42"/>
      <c r="E800" s="42"/>
    </row>
    <row r="801" ht="15.75" customHeight="1">
      <c r="D801" s="42"/>
      <c r="E801" s="42"/>
    </row>
    <row r="802" ht="15.75" customHeight="1">
      <c r="D802" s="42"/>
      <c r="E802" s="42"/>
    </row>
    <row r="803" ht="15.75" customHeight="1">
      <c r="D803" s="42"/>
      <c r="E803" s="42"/>
    </row>
    <row r="804" ht="15.75" customHeight="1">
      <c r="D804" s="42"/>
      <c r="E804" s="42"/>
    </row>
    <row r="805" ht="15.75" customHeight="1">
      <c r="D805" s="42"/>
      <c r="E805" s="42"/>
    </row>
    <row r="806" ht="15.75" customHeight="1">
      <c r="D806" s="42"/>
      <c r="E806" s="42"/>
    </row>
    <row r="807" ht="15.75" customHeight="1">
      <c r="D807" s="42"/>
      <c r="E807" s="42"/>
    </row>
    <row r="808" ht="15.75" customHeight="1">
      <c r="D808" s="42"/>
      <c r="E808" s="42"/>
    </row>
    <row r="809" ht="15.75" customHeight="1">
      <c r="D809" s="42"/>
      <c r="E809" s="42"/>
    </row>
    <row r="810" ht="15.75" customHeight="1">
      <c r="D810" s="42"/>
      <c r="E810" s="42"/>
    </row>
    <row r="811" ht="15.75" customHeight="1">
      <c r="D811" s="42"/>
      <c r="E811" s="42"/>
    </row>
    <row r="812" ht="15.75" customHeight="1">
      <c r="D812" s="42"/>
      <c r="E812" s="42"/>
    </row>
    <row r="813" ht="15.75" customHeight="1">
      <c r="D813" s="42"/>
      <c r="E813" s="42"/>
    </row>
    <row r="814" ht="15.75" customHeight="1">
      <c r="D814" s="42"/>
      <c r="E814" s="42"/>
    </row>
    <row r="815" ht="15.75" customHeight="1">
      <c r="D815" s="42"/>
      <c r="E815" s="42"/>
    </row>
    <row r="816" ht="15.75" customHeight="1">
      <c r="D816" s="42"/>
      <c r="E816" s="42"/>
    </row>
    <row r="817" ht="15.75" customHeight="1">
      <c r="D817" s="42"/>
      <c r="E817" s="42"/>
    </row>
    <row r="818" ht="15.75" customHeight="1">
      <c r="D818" s="42"/>
      <c r="E818" s="42"/>
    </row>
    <row r="819" ht="15.75" customHeight="1">
      <c r="D819" s="42"/>
      <c r="E819" s="42"/>
    </row>
    <row r="820" ht="15.75" customHeight="1">
      <c r="D820" s="42"/>
      <c r="E820" s="42"/>
    </row>
    <row r="821" ht="15.75" customHeight="1">
      <c r="D821" s="42"/>
      <c r="E821" s="42"/>
    </row>
    <row r="822" ht="15.75" customHeight="1">
      <c r="D822" s="42"/>
      <c r="E822" s="42"/>
    </row>
    <row r="823" ht="15.75" customHeight="1">
      <c r="D823" s="42"/>
      <c r="E823" s="42"/>
    </row>
    <row r="824" ht="15.75" customHeight="1">
      <c r="D824" s="42"/>
      <c r="E824" s="42"/>
    </row>
    <row r="825" ht="15.75" customHeight="1">
      <c r="D825" s="42"/>
      <c r="E825" s="42"/>
    </row>
    <row r="826" ht="15.75" customHeight="1">
      <c r="D826" s="42"/>
      <c r="E826" s="42"/>
    </row>
    <row r="827" ht="15.75" customHeight="1">
      <c r="D827" s="42"/>
      <c r="E827" s="42"/>
    </row>
    <row r="828" ht="15.75" customHeight="1">
      <c r="D828" s="42"/>
      <c r="E828" s="42"/>
    </row>
    <row r="829" ht="15.75" customHeight="1">
      <c r="D829" s="42"/>
      <c r="E829" s="42"/>
    </row>
    <row r="830" ht="15.75" customHeight="1">
      <c r="D830" s="42"/>
      <c r="E830" s="42"/>
    </row>
    <row r="831" ht="15.75" customHeight="1">
      <c r="D831" s="42"/>
      <c r="E831" s="42"/>
    </row>
    <row r="832" ht="15.75" customHeight="1">
      <c r="D832" s="42"/>
      <c r="E832" s="42"/>
    </row>
    <row r="833" ht="15.75" customHeight="1">
      <c r="D833" s="42"/>
      <c r="E833" s="42"/>
    </row>
    <row r="834" ht="15.75" customHeight="1">
      <c r="D834" s="42"/>
      <c r="E834" s="42"/>
    </row>
    <row r="835" ht="15.75" customHeight="1">
      <c r="D835" s="42"/>
      <c r="E835" s="42"/>
    </row>
    <row r="836" ht="15.75" customHeight="1">
      <c r="D836" s="42"/>
      <c r="E836" s="42"/>
    </row>
    <row r="837" ht="15.75" customHeight="1">
      <c r="D837" s="42"/>
      <c r="E837" s="42"/>
    </row>
    <row r="838" ht="15.75" customHeight="1">
      <c r="D838" s="42"/>
      <c r="E838" s="42"/>
    </row>
    <row r="839" ht="15.75" customHeight="1">
      <c r="D839" s="42"/>
      <c r="E839" s="42"/>
    </row>
    <row r="840" ht="15.75" customHeight="1">
      <c r="D840" s="42"/>
      <c r="E840" s="42"/>
    </row>
    <row r="841" ht="15.75" customHeight="1">
      <c r="D841" s="42"/>
      <c r="E841" s="42"/>
    </row>
    <row r="842" ht="15.75" customHeight="1">
      <c r="D842" s="42"/>
      <c r="E842" s="42"/>
    </row>
    <row r="843" ht="15.75" customHeight="1">
      <c r="D843" s="42"/>
      <c r="E843" s="42"/>
    </row>
    <row r="844" ht="15.75" customHeight="1">
      <c r="D844" s="42"/>
      <c r="E844" s="42"/>
    </row>
    <row r="845" ht="15.75" customHeight="1">
      <c r="D845" s="42"/>
      <c r="E845" s="42"/>
    </row>
    <row r="846" ht="15.75" customHeight="1">
      <c r="D846" s="42"/>
      <c r="E846" s="42"/>
    </row>
    <row r="847" ht="15.75" customHeight="1">
      <c r="D847" s="42"/>
      <c r="E847" s="42"/>
    </row>
    <row r="848" ht="15.75" customHeight="1">
      <c r="D848" s="42"/>
      <c r="E848" s="42"/>
    </row>
    <row r="849" ht="15.75" customHeight="1">
      <c r="D849" s="42"/>
      <c r="E849" s="42"/>
    </row>
    <row r="850" ht="15.75" customHeight="1">
      <c r="D850" s="42"/>
      <c r="E850" s="42"/>
    </row>
    <row r="851" ht="15.75" customHeight="1">
      <c r="D851" s="42"/>
      <c r="E851" s="42"/>
    </row>
    <row r="852" ht="15.75" customHeight="1">
      <c r="D852" s="42"/>
      <c r="E852" s="42"/>
    </row>
    <row r="853" ht="15.75" customHeight="1">
      <c r="D853" s="42"/>
      <c r="E853" s="42"/>
    </row>
    <row r="854" ht="15.75" customHeight="1">
      <c r="D854" s="42"/>
      <c r="E854" s="42"/>
    </row>
    <row r="855" ht="15.75" customHeight="1">
      <c r="D855" s="42"/>
      <c r="E855" s="42"/>
    </row>
    <row r="856" ht="15.75" customHeight="1">
      <c r="D856" s="42"/>
      <c r="E856" s="42"/>
    </row>
    <row r="857" ht="15.75" customHeight="1">
      <c r="D857" s="42"/>
      <c r="E857" s="42"/>
    </row>
    <row r="858" ht="15.75" customHeight="1">
      <c r="D858" s="42"/>
      <c r="E858" s="42"/>
    </row>
    <row r="859" ht="15.75" customHeight="1">
      <c r="D859" s="42"/>
      <c r="E859" s="42"/>
    </row>
    <row r="860" ht="15.75" customHeight="1">
      <c r="D860" s="42"/>
      <c r="E860" s="42"/>
    </row>
    <row r="861" ht="15.75" customHeight="1">
      <c r="D861" s="42"/>
      <c r="E861" s="42"/>
    </row>
    <row r="862" ht="15.75" customHeight="1">
      <c r="D862" s="42"/>
      <c r="E862" s="42"/>
    </row>
    <row r="863" ht="15.75" customHeight="1">
      <c r="D863" s="42"/>
      <c r="E863" s="42"/>
    </row>
    <row r="864" ht="15.75" customHeight="1">
      <c r="D864" s="42"/>
      <c r="E864" s="42"/>
    </row>
    <row r="865" ht="15.75" customHeight="1">
      <c r="D865" s="42"/>
      <c r="E865" s="42"/>
    </row>
    <row r="866" ht="15.75" customHeight="1">
      <c r="D866" s="42"/>
      <c r="E866" s="42"/>
    </row>
    <row r="867" ht="15.75" customHeight="1">
      <c r="D867" s="42"/>
      <c r="E867" s="42"/>
    </row>
    <row r="868" ht="15.75" customHeight="1">
      <c r="D868" s="42"/>
      <c r="E868" s="42"/>
    </row>
    <row r="869" ht="15.75" customHeight="1">
      <c r="D869" s="42"/>
      <c r="E869" s="42"/>
    </row>
    <row r="870" ht="15.75" customHeight="1">
      <c r="D870" s="42"/>
      <c r="E870" s="42"/>
    </row>
    <row r="871" ht="15.75" customHeight="1">
      <c r="D871" s="42"/>
      <c r="E871" s="42"/>
    </row>
    <row r="872" ht="15.75" customHeight="1">
      <c r="D872" s="42"/>
      <c r="E872" s="42"/>
    </row>
    <row r="873" ht="15.75" customHeight="1">
      <c r="D873" s="42"/>
      <c r="E873" s="42"/>
    </row>
    <row r="874" ht="15.75" customHeight="1">
      <c r="D874" s="42"/>
      <c r="E874" s="42"/>
    </row>
    <row r="875" ht="15.75" customHeight="1">
      <c r="D875" s="42"/>
      <c r="E875" s="42"/>
    </row>
    <row r="876" ht="15.75" customHeight="1">
      <c r="D876" s="42"/>
      <c r="E876" s="42"/>
    </row>
    <row r="877" ht="15.75" customHeight="1">
      <c r="D877" s="42"/>
      <c r="E877" s="42"/>
    </row>
    <row r="878" ht="15.75" customHeight="1">
      <c r="D878" s="42"/>
      <c r="E878" s="42"/>
    </row>
    <row r="879" ht="15.75" customHeight="1">
      <c r="D879" s="42"/>
      <c r="E879" s="42"/>
    </row>
    <row r="880" ht="15.75" customHeight="1">
      <c r="D880" s="42"/>
      <c r="E880" s="42"/>
    </row>
    <row r="881" ht="15.75" customHeight="1">
      <c r="D881" s="42"/>
      <c r="E881" s="42"/>
    </row>
    <row r="882" ht="15.75" customHeight="1">
      <c r="D882" s="42"/>
      <c r="E882" s="42"/>
    </row>
    <row r="883" ht="15.75" customHeight="1">
      <c r="D883" s="42"/>
      <c r="E883" s="42"/>
    </row>
    <row r="884" ht="15.75" customHeight="1">
      <c r="D884" s="42"/>
      <c r="E884" s="42"/>
    </row>
    <row r="885" ht="15.75" customHeight="1">
      <c r="D885" s="42"/>
      <c r="E885" s="42"/>
    </row>
    <row r="886" ht="15.75" customHeight="1">
      <c r="D886" s="42"/>
      <c r="E886" s="42"/>
    </row>
    <row r="887" ht="15.75" customHeight="1">
      <c r="D887" s="42"/>
      <c r="E887" s="42"/>
    </row>
    <row r="888" ht="15.75" customHeight="1">
      <c r="D888" s="42"/>
      <c r="E888" s="42"/>
    </row>
    <row r="889" ht="15.75" customHeight="1">
      <c r="D889" s="42"/>
      <c r="E889" s="42"/>
    </row>
    <row r="890" ht="15.75" customHeight="1">
      <c r="D890" s="42"/>
      <c r="E890" s="42"/>
    </row>
    <row r="891" ht="15.75" customHeight="1">
      <c r="D891" s="42"/>
      <c r="E891" s="42"/>
    </row>
    <row r="892" ht="15.75" customHeight="1">
      <c r="D892" s="42"/>
      <c r="E892" s="42"/>
    </row>
    <row r="893" ht="15.75" customHeight="1">
      <c r="D893" s="42"/>
      <c r="E893" s="42"/>
    </row>
    <row r="894" ht="15.75" customHeight="1">
      <c r="D894" s="42"/>
      <c r="E894" s="42"/>
    </row>
    <row r="895" ht="15.75" customHeight="1">
      <c r="D895" s="42"/>
      <c r="E895" s="42"/>
    </row>
    <row r="896" ht="15.75" customHeight="1">
      <c r="D896" s="42"/>
      <c r="E896" s="42"/>
    </row>
    <row r="897" ht="15.75" customHeight="1">
      <c r="D897" s="42"/>
      <c r="E897" s="42"/>
    </row>
    <row r="898" ht="15.75" customHeight="1">
      <c r="D898" s="42"/>
      <c r="E898" s="42"/>
    </row>
    <row r="899" ht="15.75" customHeight="1">
      <c r="D899" s="42"/>
      <c r="E899" s="42"/>
    </row>
    <row r="900" ht="15.75" customHeight="1">
      <c r="D900" s="42"/>
      <c r="E900" s="42"/>
    </row>
    <row r="901" ht="15.75" customHeight="1">
      <c r="D901" s="42"/>
      <c r="E901" s="42"/>
    </row>
    <row r="902" ht="15.75" customHeight="1">
      <c r="D902" s="42"/>
      <c r="E902" s="42"/>
    </row>
    <row r="903" ht="15.75" customHeight="1">
      <c r="D903" s="42"/>
      <c r="E903" s="42"/>
    </row>
    <row r="904" ht="15.75" customHeight="1">
      <c r="D904" s="42"/>
      <c r="E904" s="42"/>
    </row>
    <row r="905" ht="15.75" customHeight="1">
      <c r="D905" s="42"/>
      <c r="E905" s="42"/>
    </row>
    <row r="906" ht="15.75" customHeight="1">
      <c r="D906" s="42"/>
      <c r="E906" s="42"/>
    </row>
    <row r="907" ht="15.75" customHeight="1">
      <c r="D907" s="42"/>
      <c r="E907" s="42"/>
    </row>
    <row r="908" ht="15.75" customHeight="1">
      <c r="D908" s="42"/>
      <c r="E908" s="42"/>
    </row>
    <row r="909" ht="15.75" customHeight="1">
      <c r="D909" s="42"/>
      <c r="E909" s="42"/>
    </row>
    <row r="910" ht="15.75" customHeight="1">
      <c r="D910" s="42"/>
      <c r="E910" s="42"/>
    </row>
    <row r="911" ht="15.75" customHeight="1">
      <c r="D911" s="42"/>
      <c r="E911" s="42"/>
    </row>
    <row r="912" ht="15.75" customHeight="1">
      <c r="D912" s="42"/>
      <c r="E912" s="42"/>
    </row>
    <row r="913" ht="15.75" customHeight="1">
      <c r="D913" s="42"/>
      <c r="E913" s="42"/>
    </row>
    <row r="914" ht="15.75" customHeight="1">
      <c r="D914" s="42"/>
      <c r="E914" s="42"/>
    </row>
    <row r="915" ht="15.75" customHeight="1">
      <c r="D915" s="42"/>
      <c r="E915" s="42"/>
    </row>
    <row r="916" ht="15.75" customHeight="1">
      <c r="D916" s="42"/>
      <c r="E916" s="42"/>
    </row>
    <row r="917" ht="15.75" customHeight="1">
      <c r="D917" s="42"/>
      <c r="E917" s="42"/>
    </row>
    <row r="918" ht="15.75" customHeight="1">
      <c r="D918" s="42"/>
      <c r="E918" s="42"/>
    </row>
    <row r="919" ht="15.75" customHeight="1">
      <c r="D919" s="42"/>
      <c r="E919" s="42"/>
    </row>
    <row r="920" ht="15.75" customHeight="1">
      <c r="D920" s="42"/>
      <c r="E920" s="42"/>
    </row>
    <row r="921" ht="15.75" customHeight="1">
      <c r="D921" s="42"/>
      <c r="E921" s="42"/>
    </row>
    <row r="922" ht="15.75" customHeight="1">
      <c r="D922" s="42"/>
      <c r="E922" s="42"/>
    </row>
    <row r="923" ht="15.75" customHeight="1">
      <c r="D923" s="42"/>
      <c r="E923" s="42"/>
    </row>
    <row r="924" ht="15.75" customHeight="1">
      <c r="D924" s="42"/>
      <c r="E924" s="42"/>
    </row>
    <row r="925" ht="15.75" customHeight="1">
      <c r="D925" s="42"/>
      <c r="E925" s="42"/>
    </row>
    <row r="926" ht="15.75" customHeight="1">
      <c r="D926" s="42"/>
      <c r="E926" s="42"/>
    </row>
    <row r="927" ht="15.75" customHeight="1">
      <c r="D927" s="42"/>
      <c r="E927" s="42"/>
    </row>
    <row r="928" ht="15.75" customHeight="1">
      <c r="D928" s="42"/>
      <c r="E928" s="42"/>
    </row>
    <row r="929" ht="15.75" customHeight="1">
      <c r="D929" s="42"/>
      <c r="E929" s="42"/>
    </row>
    <row r="930" ht="15.75" customHeight="1">
      <c r="D930" s="42"/>
      <c r="E930" s="42"/>
    </row>
    <row r="931" ht="15.75" customHeight="1">
      <c r="D931" s="42"/>
      <c r="E931" s="42"/>
    </row>
    <row r="932" ht="15.75" customHeight="1">
      <c r="D932" s="42"/>
      <c r="E932" s="42"/>
    </row>
    <row r="933" ht="15.75" customHeight="1">
      <c r="D933" s="42"/>
      <c r="E933" s="42"/>
    </row>
    <row r="934" ht="15.75" customHeight="1">
      <c r="D934" s="42"/>
      <c r="E934" s="42"/>
    </row>
    <row r="935" ht="15.75" customHeight="1">
      <c r="D935" s="42"/>
      <c r="E935" s="42"/>
    </row>
    <row r="936" ht="15.75" customHeight="1">
      <c r="D936" s="42"/>
      <c r="E936" s="42"/>
    </row>
    <row r="937" ht="15.75" customHeight="1">
      <c r="D937" s="42"/>
      <c r="E937" s="42"/>
    </row>
    <row r="938" ht="15.75" customHeight="1">
      <c r="D938" s="42"/>
      <c r="E938" s="42"/>
    </row>
    <row r="939" ht="15.75" customHeight="1">
      <c r="D939" s="42"/>
      <c r="E939" s="42"/>
    </row>
    <row r="940" ht="15.75" customHeight="1">
      <c r="D940" s="42"/>
      <c r="E940" s="42"/>
    </row>
    <row r="941" ht="15.75" customHeight="1">
      <c r="D941" s="42"/>
      <c r="E941" s="42"/>
    </row>
    <row r="942" ht="15.75" customHeight="1">
      <c r="D942" s="42"/>
      <c r="E942" s="42"/>
    </row>
    <row r="943" ht="15.75" customHeight="1">
      <c r="D943" s="42"/>
      <c r="E943" s="42"/>
    </row>
    <row r="944" ht="15.75" customHeight="1">
      <c r="D944" s="42"/>
      <c r="E944" s="42"/>
    </row>
    <row r="945" ht="15.75" customHeight="1">
      <c r="D945" s="42"/>
      <c r="E945" s="42"/>
    </row>
    <row r="946" ht="15.75" customHeight="1">
      <c r="D946" s="42"/>
      <c r="E946" s="42"/>
    </row>
    <row r="947" ht="15.75" customHeight="1">
      <c r="D947" s="42"/>
      <c r="E947" s="42"/>
    </row>
    <row r="948" ht="15.75" customHeight="1">
      <c r="D948" s="42"/>
      <c r="E948" s="42"/>
    </row>
    <row r="949" ht="15.75" customHeight="1">
      <c r="D949" s="42"/>
      <c r="E949" s="42"/>
    </row>
    <row r="950" ht="15.75" customHeight="1">
      <c r="D950" s="42"/>
      <c r="E950" s="42"/>
    </row>
    <row r="951" ht="15.75" customHeight="1">
      <c r="D951" s="42"/>
      <c r="E951" s="42"/>
    </row>
    <row r="952" ht="15.75" customHeight="1">
      <c r="D952" s="42"/>
      <c r="E952" s="42"/>
    </row>
    <row r="953" ht="15.75" customHeight="1">
      <c r="D953" s="42"/>
      <c r="E953" s="42"/>
    </row>
    <row r="954" ht="15.75" customHeight="1">
      <c r="D954" s="42"/>
      <c r="E954" s="42"/>
    </row>
    <row r="955" ht="15.75" customHeight="1">
      <c r="D955" s="42"/>
      <c r="E955" s="42"/>
    </row>
    <row r="956" ht="15.75" customHeight="1">
      <c r="D956" s="42"/>
      <c r="E956" s="42"/>
    </row>
    <row r="957" ht="15.75" customHeight="1">
      <c r="D957" s="42"/>
      <c r="E957" s="42"/>
    </row>
    <row r="958" ht="15.75" customHeight="1">
      <c r="D958" s="42"/>
      <c r="E958" s="42"/>
    </row>
    <row r="959" ht="15.75" customHeight="1">
      <c r="D959" s="42"/>
      <c r="E959" s="42"/>
    </row>
    <row r="960" ht="15.75" customHeight="1">
      <c r="D960" s="42"/>
      <c r="E960" s="42"/>
    </row>
    <row r="961" ht="15.75" customHeight="1">
      <c r="D961" s="42"/>
      <c r="E961" s="42"/>
    </row>
    <row r="962" ht="15.75" customHeight="1">
      <c r="D962" s="42"/>
      <c r="E962" s="42"/>
    </row>
    <row r="963" ht="15.75" customHeight="1">
      <c r="D963" s="42"/>
      <c r="E963" s="42"/>
    </row>
    <row r="964" ht="15.75" customHeight="1">
      <c r="D964" s="42"/>
      <c r="E964" s="42"/>
    </row>
    <row r="965" ht="15.75" customHeight="1">
      <c r="D965" s="42"/>
      <c r="E965" s="42"/>
    </row>
    <row r="966" ht="15.75" customHeight="1">
      <c r="D966" s="42"/>
      <c r="E966" s="42"/>
    </row>
    <row r="967" ht="15.75" customHeight="1">
      <c r="D967" s="42"/>
      <c r="E967" s="42"/>
    </row>
    <row r="968" ht="15.75" customHeight="1">
      <c r="D968" s="42"/>
      <c r="E968" s="42"/>
    </row>
    <row r="969" ht="15.75" customHeight="1">
      <c r="D969" s="42"/>
      <c r="E969" s="42"/>
    </row>
    <row r="970" ht="15.75" customHeight="1">
      <c r="D970" s="42"/>
      <c r="E970" s="42"/>
    </row>
    <row r="971" ht="15.75" customHeight="1">
      <c r="D971" s="42"/>
      <c r="E971" s="42"/>
    </row>
    <row r="972" ht="15.75" customHeight="1">
      <c r="D972" s="42"/>
      <c r="E972" s="42"/>
    </row>
    <row r="973" ht="15.75" customHeight="1">
      <c r="D973" s="42"/>
      <c r="E973" s="42"/>
    </row>
    <row r="974" ht="15.75" customHeight="1">
      <c r="D974" s="42"/>
      <c r="E974" s="42"/>
    </row>
    <row r="975" ht="15.75" customHeight="1">
      <c r="D975" s="42"/>
      <c r="E975" s="42"/>
    </row>
    <row r="976" ht="15.75" customHeight="1">
      <c r="D976" s="42"/>
      <c r="E976" s="42"/>
    </row>
    <row r="977" ht="15.75" customHeight="1">
      <c r="D977" s="42"/>
      <c r="E977" s="42"/>
    </row>
    <row r="978" ht="15.75" customHeight="1">
      <c r="D978" s="42"/>
      <c r="E978" s="42"/>
    </row>
    <row r="979" ht="15.75" customHeight="1">
      <c r="D979" s="42"/>
      <c r="E979" s="42"/>
    </row>
    <row r="980" ht="15.75" customHeight="1">
      <c r="D980" s="42"/>
      <c r="E980" s="42"/>
    </row>
    <row r="981" ht="15.75" customHeight="1">
      <c r="D981" s="42"/>
      <c r="E981" s="42"/>
    </row>
    <row r="982" ht="15.75" customHeight="1">
      <c r="D982" s="42"/>
      <c r="E982" s="42"/>
    </row>
    <row r="983" ht="15.75" customHeight="1">
      <c r="D983" s="42"/>
      <c r="E983" s="42"/>
    </row>
    <row r="984" ht="15.75" customHeight="1">
      <c r="D984" s="42"/>
      <c r="E984" s="42"/>
    </row>
    <row r="985" ht="15.75" customHeight="1">
      <c r="D985" s="42"/>
      <c r="E985" s="42"/>
    </row>
    <row r="986" ht="15.75" customHeight="1">
      <c r="D986" s="42"/>
      <c r="E986" s="42"/>
    </row>
    <row r="987" ht="15.75" customHeight="1">
      <c r="D987" s="42"/>
      <c r="E987" s="42"/>
    </row>
    <row r="988" ht="15.75" customHeight="1">
      <c r="D988" s="42"/>
      <c r="E988" s="42"/>
    </row>
    <row r="989" ht="15.75" customHeight="1">
      <c r="D989" s="42"/>
      <c r="E989" s="42"/>
    </row>
    <row r="990" ht="15.75" customHeight="1">
      <c r="D990" s="42"/>
      <c r="E990" s="42"/>
    </row>
    <row r="991" ht="15.75" customHeight="1">
      <c r="D991" s="42"/>
      <c r="E991" s="42"/>
    </row>
    <row r="992" ht="15.75" customHeight="1">
      <c r="D992" s="42"/>
      <c r="E992" s="42"/>
    </row>
    <row r="993" ht="15.75" customHeight="1">
      <c r="D993" s="42"/>
      <c r="E993" s="42"/>
    </row>
    <row r="994" ht="15.75" customHeight="1">
      <c r="D994" s="42"/>
      <c r="E994" s="42"/>
    </row>
    <row r="995" ht="15.75" customHeight="1">
      <c r="D995" s="42"/>
      <c r="E995" s="42"/>
    </row>
    <row r="996" ht="15.75" customHeight="1">
      <c r="D996" s="42"/>
      <c r="E996" s="42"/>
    </row>
    <row r="997" ht="15.75" customHeight="1">
      <c r="D997" s="42"/>
      <c r="E997" s="42"/>
    </row>
    <row r="998" ht="15.75" customHeight="1">
      <c r="D998" s="42"/>
      <c r="E998" s="42"/>
    </row>
    <row r="999" ht="15.75" customHeight="1">
      <c r="D999" s="42"/>
      <c r="E999" s="42"/>
    </row>
    <row r="1000" ht="15.75" customHeight="1">
      <c r="D1000" s="42"/>
      <c r="E1000" s="42"/>
    </row>
  </sheetData>
  <mergeCells count="12">
    <mergeCell ref="O6:R6"/>
    <mergeCell ref="S6:V6"/>
    <mergeCell ref="A23:C23"/>
    <mergeCell ref="A24:C24"/>
    <mergeCell ref="A1:AA2"/>
    <mergeCell ref="A3:AA4"/>
    <mergeCell ref="A5:AA5"/>
    <mergeCell ref="A6:A7"/>
    <mergeCell ref="E6:E7"/>
    <mergeCell ref="F6:I6"/>
    <mergeCell ref="J6:N6"/>
    <mergeCell ref="W6:AA6"/>
  </mergeCells>
  <printOptions/>
  <pageMargins bottom="0.2" footer="0.0" header="0.0" left="0.2" right="0.2" top="0.2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2.57"/>
    <col customWidth="1" min="3" max="3" width="9.86"/>
    <col customWidth="1" min="4" max="4" width="11.43"/>
    <col customWidth="1" min="5" max="5" width="13.71"/>
    <col customWidth="1" min="6" max="6" width="14.43"/>
    <col customWidth="1" hidden="1" min="7" max="7" width="11.71"/>
    <col customWidth="1" min="8" max="8" width="12.29"/>
    <col customWidth="1" min="9" max="9" width="10.71"/>
    <col customWidth="1" min="10" max="10" width="12.29"/>
    <col customWidth="1" hidden="1" min="11" max="11" width="12.29"/>
    <col customWidth="1" min="12" max="12" width="11.29"/>
    <col customWidth="1" min="13" max="13" width="0.14"/>
    <col customWidth="1" min="14" max="14" width="9.57"/>
    <col customWidth="1" min="15" max="15" width="13.43"/>
    <col customWidth="1" hidden="1" min="16" max="16" width="14.29"/>
    <col customWidth="1" min="17" max="17" width="11.14"/>
    <col customWidth="1" min="18" max="18" width="9.29"/>
    <col customWidth="1" min="19" max="19" width="13.29"/>
    <col customWidth="1" hidden="1" min="20" max="20" width="13.43"/>
    <col customWidth="1" min="21" max="21" width="9.0"/>
    <col customWidth="1" min="22" max="22" width="7.71"/>
    <col customWidth="1" min="23" max="23" width="15.0"/>
    <col customWidth="1" hidden="1" min="24" max="24" width="2.29"/>
    <col customWidth="1" min="25" max="25" width="14.14"/>
    <col customWidth="1" min="26" max="26" width="0.14"/>
    <col customWidth="1" min="27" max="27" width="8.43"/>
    <col customWidth="1" min="28" max="28" width="11.57"/>
  </cols>
  <sheetData>
    <row r="1">
      <c r="A1" s="1" t="s">
        <v>0</v>
      </c>
    </row>
    <row r="3">
      <c r="A3" s="2" t="s">
        <v>46</v>
      </c>
    </row>
    <row r="5">
      <c r="A5" s="3" t="s">
        <v>52</v>
      </c>
    </row>
    <row r="6">
      <c r="A6" s="4" t="s">
        <v>3</v>
      </c>
      <c r="B6" s="5" t="s">
        <v>4</v>
      </c>
      <c r="C6" s="5" t="s">
        <v>5</v>
      </c>
      <c r="D6" s="5" t="s">
        <v>6</v>
      </c>
      <c r="E6" s="4" t="s">
        <v>7</v>
      </c>
      <c r="F6" s="6" t="s">
        <v>8</v>
      </c>
      <c r="G6" s="7"/>
      <c r="H6" s="7"/>
      <c r="I6" s="8"/>
      <c r="J6" s="6" t="s">
        <v>9</v>
      </c>
      <c r="K6" s="7"/>
      <c r="L6" s="7"/>
      <c r="M6" s="7"/>
      <c r="N6" s="8"/>
      <c r="O6" s="6" t="s">
        <v>10</v>
      </c>
      <c r="P6" s="7"/>
      <c r="Q6" s="7"/>
      <c r="R6" s="8"/>
      <c r="S6" s="6" t="s">
        <v>11</v>
      </c>
      <c r="T6" s="7"/>
      <c r="U6" s="7"/>
      <c r="V6" s="8"/>
      <c r="W6" s="6" t="s">
        <v>12</v>
      </c>
      <c r="X6" s="7"/>
      <c r="Y6" s="7"/>
      <c r="Z6" s="7"/>
      <c r="AA6" s="8"/>
    </row>
    <row r="7">
      <c r="A7" s="9"/>
      <c r="B7" s="10"/>
      <c r="C7" s="10"/>
      <c r="D7" s="10"/>
      <c r="E7" s="11"/>
      <c r="F7" s="12" t="s">
        <v>13</v>
      </c>
      <c r="G7" s="12"/>
      <c r="H7" s="12" t="s">
        <v>14</v>
      </c>
      <c r="I7" s="12" t="s">
        <v>15</v>
      </c>
      <c r="J7" s="12" t="s">
        <v>13</v>
      </c>
      <c r="K7" s="12"/>
      <c r="L7" s="12" t="s">
        <v>14</v>
      </c>
      <c r="M7" s="12"/>
      <c r="N7" s="12" t="s">
        <v>15</v>
      </c>
      <c r="O7" s="12" t="s">
        <v>13</v>
      </c>
      <c r="P7" s="12"/>
      <c r="Q7" s="12" t="s">
        <v>14</v>
      </c>
      <c r="R7" s="12" t="s">
        <v>15</v>
      </c>
      <c r="S7" s="12" t="s">
        <v>13</v>
      </c>
      <c r="T7" s="12"/>
      <c r="U7" s="12" t="s">
        <v>14</v>
      </c>
      <c r="V7" s="12" t="s">
        <v>15</v>
      </c>
      <c r="W7" s="12" t="s">
        <v>13</v>
      </c>
      <c r="X7" s="12"/>
      <c r="Y7" s="12" t="s">
        <v>14</v>
      </c>
      <c r="Z7" s="12"/>
      <c r="AA7" s="12" t="s">
        <v>15</v>
      </c>
    </row>
    <row r="8">
      <c r="A8" s="13">
        <v>1.0</v>
      </c>
      <c r="B8" s="14" t="s">
        <v>16</v>
      </c>
      <c r="C8" s="13" t="s">
        <v>17</v>
      </c>
      <c r="D8" s="13">
        <v>70.79</v>
      </c>
      <c r="E8" s="15">
        <v>500.0</v>
      </c>
      <c r="F8" s="16">
        <f t="shared" ref="F8:F22" si="1">W8/2</f>
        <v>646</v>
      </c>
      <c r="G8" s="17">
        <f t="shared" ref="G8:G23" si="2">F8*D8</f>
        <v>45730.34</v>
      </c>
      <c r="H8" s="18"/>
      <c r="I8" s="19"/>
      <c r="J8" s="19">
        <v>646.0</v>
      </c>
      <c r="K8" s="19">
        <f t="shared" ref="K8:K22" si="3">J8*D8</f>
        <v>45730.34</v>
      </c>
      <c r="L8" s="20">
        <v>0.0</v>
      </c>
      <c r="M8" s="96">
        <f t="shared" ref="M8:M22" si="4">L8*D8</f>
        <v>0</v>
      </c>
      <c r="N8" s="21">
        <f t="shared" ref="N8:N24" si="5">L8/J8</f>
        <v>0</v>
      </c>
      <c r="O8" s="19">
        <f t="shared" ref="O8:O22" si="6">W8/2</f>
        <v>646</v>
      </c>
      <c r="P8" s="22">
        <f t="shared" ref="P8:P23" si="7">O8*D8</f>
        <v>45730.34</v>
      </c>
      <c r="Q8" s="18"/>
      <c r="R8" s="18"/>
      <c r="S8" s="18">
        <v>646.0</v>
      </c>
      <c r="T8" s="18">
        <f t="shared" ref="T8:T22" si="8">S8*D8</f>
        <v>45730.34</v>
      </c>
      <c r="U8" s="18"/>
      <c r="V8" s="18"/>
      <c r="W8" s="16">
        <v>1292.0</v>
      </c>
      <c r="X8" s="23">
        <f t="shared" ref="X8:X23" si="9">W8*D8</f>
        <v>91460.68</v>
      </c>
      <c r="Y8" s="18">
        <v>80.0</v>
      </c>
      <c r="Z8" s="19">
        <f t="shared" ref="Z8:Z22" si="10">Y8*D8</f>
        <v>5663.2</v>
      </c>
      <c r="AA8" s="24">
        <f t="shared" ref="AA8:AA24" si="11">Y8/W8</f>
        <v>0.06191950464</v>
      </c>
      <c r="AB8" s="25"/>
    </row>
    <row r="9">
      <c r="A9" s="26">
        <v>2.0</v>
      </c>
      <c r="B9" s="27" t="s">
        <v>18</v>
      </c>
      <c r="C9" s="26" t="s">
        <v>17</v>
      </c>
      <c r="D9" s="26">
        <v>89.37</v>
      </c>
      <c r="E9" s="28">
        <v>500.0</v>
      </c>
      <c r="F9" s="29">
        <f t="shared" si="1"/>
        <v>646</v>
      </c>
      <c r="G9" s="23">
        <f t="shared" si="2"/>
        <v>57733.02</v>
      </c>
      <c r="H9" s="30"/>
      <c r="I9" s="31"/>
      <c r="J9" s="31">
        <v>646.0</v>
      </c>
      <c r="K9" s="19">
        <f t="shared" si="3"/>
        <v>57733.02</v>
      </c>
      <c r="L9" s="22">
        <v>50.0</v>
      </c>
      <c r="M9" s="96">
        <f t="shared" si="4"/>
        <v>4468.5</v>
      </c>
      <c r="N9" s="32">
        <f t="shared" si="5"/>
        <v>0.0773993808</v>
      </c>
      <c r="O9" s="31">
        <f t="shared" si="6"/>
        <v>646</v>
      </c>
      <c r="P9" s="22">
        <f t="shared" si="7"/>
        <v>57733.02</v>
      </c>
      <c r="Q9" s="30"/>
      <c r="R9" s="30"/>
      <c r="S9" s="30">
        <v>646.0</v>
      </c>
      <c r="T9" s="18">
        <f t="shared" si="8"/>
        <v>57733.02</v>
      </c>
      <c r="U9" s="30"/>
      <c r="V9" s="30"/>
      <c r="W9" s="29">
        <v>1292.0</v>
      </c>
      <c r="X9" s="23">
        <f t="shared" si="9"/>
        <v>115466.04</v>
      </c>
      <c r="Y9" s="30">
        <v>30.0</v>
      </c>
      <c r="Z9" s="19">
        <f t="shared" si="10"/>
        <v>2681.1</v>
      </c>
      <c r="AA9" s="24">
        <f t="shared" si="11"/>
        <v>0.02321981424</v>
      </c>
      <c r="AB9" s="25"/>
    </row>
    <row r="10">
      <c r="A10" s="26">
        <v>3.0</v>
      </c>
      <c r="B10" s="27" t="s">
        <v>19</v>
      </c>
      <c r="C10" s="26" t="s">
        <v>17</v>
      </c>
      <c r="D10" s="26">
        <v>112.5</v>
      </c>
      <c r="E10" s="28">
        <v>800.0</v>
      </c>
      <c r="F10" s="29">
        <f t="shared" si="1"/>
        <v>1033.5</v>
      </c>
      <c r="G10" s="23">
        <f t="shared" si="2"/>
        <v>116268.75</v>
      </c>
      <c r="H10" s="30"/>
      <c r="I10" s="31"/>
      <c r="J10" s="31">
        <v>1033.5</v>
      </c>
      <c r="K10" s="19">
        <f t="shared" si="3"/>
        <v>116268.75</v>
      </c>
      <c r="L10" s="22">
        <v>616.0</v>
      </c>
      <c r="M10" s="96">
        <f t="shared" si="4"/>
        <v>69300</v>
      </c>
      <c r="N10" s="32">
        <f t="shared" si="5"/>
        <v>0.5960328979</v>
      </c>
      <c r="O10" s="31">
        <f t="shared" si="6"/>
        <v>1033.5</v>
      </c>
      <c r="P10" s="22">
        <f t="shared" si="7"/>
        <v>116268.75</v>
      </c>
      <c r="Q10" s="30"/>
      <c r="R10" s="30"/>
      <c r="S10" s="30">
        <v>1033.5</v>
      </c>
      <c r="T10" s="18">
        <f t="shared" si="8"/>
        <v>116268.75</v>
      </c>
      <c r="U10" s="30"/>
      <c r="V10" s="30"/>
      <c r="W10" s="29">
        <v>2067.0</v>
      </c>
      <c r="X10" s="23">
        <f t="shared" si="9"/>
        <v>232537.5</v>
      </c>
      <c r="Y10" s="30">
        <v>1450.0</v>
      </c>
      <c r="Z10" s="19">
        <f t="shared" si="10"/>
        <v>163125</v>
      </c>
      <c r="AA10" s="24">
        <f t="shared" si="11"/>
        <v>0.7014997581</v>
      </c>
      <c r="AB10" s="25"/>
    </row>
    <row r="11">
      <c r="A11" s="26">
        <v>4.0</v>
      </c>
      <c r="B11" s="27" t="s">
        <v>20</v>
      </c>
      <c r="C11" s="26" t="s">
        <v>21</v>
      </c>
      <c r="D11" s="26">
        <v>55.23</v>
      </c>
      <c r="E11" s="28">
        <v>200.0</v>
      </c>
      <c r="F11" s="29">
        <f t="shared" si="1"/>
        <v>258.5</v>
      </c>
      <c r="G11" s="23">
        <f t="shared" si="2"/>
        <v>14276.955</v>
      </c>
      <c r="H11" s="30"/>
      <c r="I11" s="31"/>
      <c r="J11" s="31">
        <v>258.5</v>
      </c>
      <c r="K11" s="19">
        <f t="shared" si="3"/>
        <v>14276.955</v>
      </c>
      <c r="L11" s="22">
        <v>0.0</v>
      </c>
      <c r="M11" s="96">
        <f t="shared" si="4"/>
        <v>0</v>
      </c>
      <c r="N11" s="32">
        <f t="shared" si="5"/>
        <v>0</v>
      </c>
      <c r="O11" s="31">
        <f t="shared" si="6"/>
        <v>258.5</v>
      </c>
      <c r="P11" s="22">
        <f t="shared" si="7"/>
        <v>14276.955</v>
      </c>
      <c r="Q11" s="30"/>
      <c r="R11" s="30"/>
      <c r="S11" s="30">
        <v>258.5</v>
      </c>
      <c r="T11" s="18">
        <f t="shared" si="8"/>
        <v>14276.955</v>
      </c>
      <c r="U11" s="30"/>
      <c r="V11" s="30"/>
      <c r="W11" s="29">
        <v>517.0</v>
      </c>
      <c r="X11" s="23">
        <f t="shared" si="9"/>
        <v>28553.91</v>
      </c>
      <c r="Y11" s="30">
        <v>0.0</v>
      </c>
      <c r="Z11" s="19">
        <f t="shared" si="10"/>
        <v>0</v>
      </c>
      <c r="AA11" s="24">
        <f t="shared" si="11"/>
        <v>0</v>
      </c>
      <c r="AB11" s="25"/>
    </row>
    <row r="12">
      <c r="A12" s="26">
        <v>5.0</v>
      </c>
      <c r="B12" s="27" t="s">
        <v>22</v>
      </c>
      <c r="C12" s="26" t="s">
        <v>23</v>
      </c>
      <c r="D12" s="26">
        <v>192.63</v>
      </c>
      <c r="E12" s="28">
        <v>192.0</v>
      </c>
      <c r="F12" s="29">
        <f t="shared" si="1"/>
        <v>248</v>
      </c>
      <c r="G12" s="23">
        <f t="shared" si="2"/>
        <v>47772.24</v>
      </c>
      <c r="H12" s="30"/>
      <c r="I12" s="31"/>
      <c r="J12" s="31">
        <v>248.0</v>
      </c>
      <c r="K12" s="19">
        <f t="shared" si="3"/>
        <v>47772.24</v>
      </c>
      <c r="L12" s="22">
        <v>8.0</v>
      </c>
      <c r="M12" s="96">
        <f t="shared" si="4"/>
        <v>1541.04</v>
      </c>
      <c r="N12" s="32">
        <f t="shared" si="5"/>
        <v>0.03225806452</v>
      </c>
      <c r="O12" s="31">
        <f t="shared" si="6"/>
        <v>248</v>
      </c>
      <c r="P12" s="22">
        <f t="shared" si="7"/>
        <v>47772.24</v>
      </c>
      <c r="Q12" s="30"/>
      <c r="R12" s="30"/>
      <c r="S12" s="30">
        <v>248.0</v>
      </c>
      <c r="T12" s="18">
        <f t="shared" si="8"/>
        <v>47772.24</v>
      </c>
      <c r="U12" s="30"/>
      <c r="V12" s="30"/>
      <c r="W12" s="29">
        <v>496.0</v>
      </c>
      <c r="X12" s="23">
        <f t="shared" si="9"/>
        <v>95544.48</v>
      </c>
      <c r="Y12" s="30">
        <v>8.0</v>
      </c>
      <c r="Z12" s="19">
        <f t="shared" si="10"/>
        <v>1541.04</v>
      </c>
      <c r="AA12" s="24">
        <f t="shared" si="11"/>
        <v>0.01612903226</v>
      </c>
      <c r="AB12" s="25"/>
    </row>
    <row r="13">
      <c r="A13" s="26">
        <v>6.0</v>
      </c>
      <c r="B13" s="27" t="s">
        <v>24</v>
      </c>
      <c r="C13" s="26" t="s">
        <v>23</v>
      </c>
      <c r="D13" s="26">
        <v>195.0</v>
      </c>
      <c r="E13" s="28">
        <v>30.0</v>
      </c>
      <c r="F13" s="29">
        <f t="shared" si="1"/>
        <v>39</v>
      </c>
      <c r="G13" s="23">
        <f t="shared" si="2"/>
        <v>7605</v>
      </c>
      <c r="H13" s="30"/>
      <c r="I13" s="31"/>
      <c r="J13" s="31">
        <v>39.0</v>
      </c>
      <c r="K13" s="19">
        <f t="shared" si="3"/>
        <v>7605</v>
      </c>
      <c r="L13" s="22">
        <v>0.0</v>
      </c>
      <c r="M13" s="96">
        <f t="shared" si="4"/>
        <v>0</v>
      </c>
      <c r="N13" s="32">
        <f t="shared" si="5"/>
        <v>0</v>
      </c>
      <c r="O13" s="31">
        <f t="shared" si="6"/>
        <v>39</v>
      </c>
      <c r="P13" s="22">
        <f t="shared" si="7"/>
        <v>7605</v>
      </c>
      <c r="Q13" s="30"/>
      <c r="R13" s="30"/>
      <c r="S13" s="30">
        <v>39.0</v>
      </c>
      <c r="T13" s="18">
        <f t="shared" si="8"/>
        <v>7605</v>
      </c>
      <c r="U13" s="30"/>
      <c r="V13" s="30"/>
      <c r="W13" s="29">
        <v>78.0</v>
      </c>
      <c r="X13" s="23">
        <f t="shared" si="9"/>
        <v>15210</v>
      </c>
      <c r="Y13" s="30">
        <v>0.0</v>
      </c>
      <c r="Z13" s="19">
        <f t="shared" si="10"/>
        <v>0</v>
      </c>
      <c r="AA13" s="24">
        <f t="shared" si="11"/>
        <v>0</v>
      </c>
      <c r="AB13" s="25"/>
    </row>
    <row r="14">
      <c r="A14" s="26">
        <v>7.0</v>
      </c>
      <c r="B14" s="27" t="s">
        <v>25</v>
      </c>
      <c r="C14" s="26" t="s">
        <v>23</v>
      </c>
      <c r="D14" s="26">
        <v>648.52</v>
      </c>
      <c r="E14" s="28">
        <v>30.0</v>
      </c>
      <c r="F14" s="29">
        <f t="shared" si="1"/>
        <v>39</v>
      </c>
      <c r="G14" s="23">
        <f t="shared" si="2"/>
        <v>25292.28</v>
      </c>
      <c r="H14" s="30"/>
      <c r="I14" s="31"/>
      <c r="J14" s="31">
        <v>39.0</v>
      </c>
      <c r="K14" s="19">
        <f t="shared" si="3"/>
        <v>25292.28</v>
      </c>
      <c r="L14" s="22">
        <v>10.0</v>
      </c>
      <c r="M14" s="96">
        <f t="shared" si="4"/>
        <v>6485.2</v>
      </c>
      <c r="N14" s="32">
        <f t="shared" si="5"/>
        <v>0.2564102564</v>
      </c>
      <c r="O14" s="31">
        <f t="shared" si="6"/>
        <v>39</v>
      </c>
      <c r="P14" s="22">
        <f t="shared" si="7"/>
        <v>25292.28</v>
      </c>
      <c r="Q14" s="30"/>
      <c r="R14" s="30"/>
      <c r="S14" s="30">
        <v>39.0</v>
      </c>
      <c r="T14" s="18">
        <f t="shared" si="8"/>
        <v>25292.28</v>
      </c>
      <c r="U14" s="30"/>
      <c r="V14" s="30"/>
      <c r="W14" s="29">
        <v>78.0</v>
      </c>
      <c r="X14" s="23">
        <f t="shared" si="9"/>
        <v>50584.56</v>
      </c>
      <c r="Y14" s="30">
        <v>0.0</v>
      </c>
      <c r="Z14" s="19">
        <f t="shared" si="10"/>
        <v>0</v>
      </c>
      <c r="AA14" s="24">
        <f t="shared" si="11"/>
        <v>0</v>
      </c>
      <c r="AB14" s="25"/>
    </row>
    <row r="15">
      <c r="A15" s="26">
        <v>8.0</v>
      </c>
      <c r="B15" s="27" t="s">
        <v>26</v>
      </c>
      <c r="C15" s="26" t="s">
        <v>21</v>
      </c>
      <c r="D15" s="26">
        <v>51.0</v>
      </c>
      <c r="E15" s="28">
        <v>300.0</v>
      </c>
      <c r="F15" s="29">
        <f t="shared" si="1"/>
        <v>387.5</v>
      </c>
      <c r="G15" s="23">
        <f t="shared" si="2"/>
        <v>19762.5</v>
      </c>
      <c r="H15" s="30"/>
      <c r="I15" s="31"/>
      <c r="J15" s="31">
        <v>387.5</v>
      </c>
      <c r="K15" s="19">
        <f t="shared" si="3"/>
        <v>19762.5</v>
      </c>
      <c r="L15" s="22">
        <v>23.0</v>
      </c>
      <c r="M15" s="96">
        <f t="shared" si="4"/>
        <v>1173</v>
      </c>
      <c r="N15" s="32">
        <f t="shared" si="5"/>
        <v>0.05935483871</v>
      </c>
      <c r="O15" s="31">
        <f t="shared" si="6"/>
        <v>387.5</v>
      </c>
      <c r="P15" s="22">
        <f t="shared" si="7"/>
        <v>19762.5</v>
      </c>
      <c r="Q15" s="30"/>
      <c r="R15" s="30"/>
      <c r="S15" s="30">
        <v>387.5</v>
      </c>
      <c r="T15" s="18">
        <f t="shared" si="8"/>
        <v>19762.5</v>
      </c>
      <c r="U15" s="30"/>
      <c r="V15" s="30"/>
      <c r="W15" s="29">
        <v>775.0</v>
      </c>
      <c r="X15" s="23">
        <f t="shared" si="9"/>
        <v>39525</v>
      </c>
      <c r="Y15" s="30">
        <v>111.0</v>
      </c>
      <c r="Z15" s="19">
        <f t="shared" si="10"/>
        <v>5661</v>
      </c>
      <c r="AA15" s="24">
        <f t="shared" si="11"/>
        <v>0.1432258065</v>
      </c>
      <c r="AB15" s="25"/>
    </row>
    <row r="16">
      <c r="A16" s="26">
        <v>9.0</v>
      </c>
      <c r="B16" s="27" t="s">
        <v>27</v>
      </c>
      <c r="C16" s="26" t="s">
        <v>28</v>
      </c>
      <c r="D16" s="26">
        <v>189.25</v>
      </c>
      <c r="E16" s="28">
        <v>560.0</v>
      </c>
      <c r="F16" s="29">
        <f t="shared" si="1"/>
        <v>723.5</v>
      </c>
      <c r="G16" s="23">
        <f t="shared" si="2"/>
        <v>136922.375</v>
      </c>
      <c r="H16" s="30"/>
      <c r="I16" s="31"/>
      <c r="J16" s="31">
        <v>723.5</v>
      </c>
      <c r="K16" s="19">
        <f t="shared" si="3"/>
        <v>136922.375</v>
      </c>
      <c r="L16" s="22">
        <v>3.0</v>
      </c>
      <c r="M16" s="96">
        <f t="shared" si="4"/>
        <v>567.75</v>
      </c>
      <c r="N16" s="32">
        <f t="shared" si="5"/>
        <v>0.004146510021</v>
      </c>
      <c r="O16" s="31">
        <f t="shared" si="6"/>
        <v>723.5</v>
      </c>
      <c r="P16" s="22">
        <f t="shared" si="7"/>
        <v>136922.375</v>
      </c>
      <c r="Q16" s="30"/>
      <c r="R16" s="30"/>
      <c r="S16" s="30">
        <v>723.5</v>
      </c>
      <c r="T16" s="18">
        <f t="shared" si="8"/>
        <v>136922.375</v>
      </c>
      <c r="U16" s="30"/>
      <c r="V16" s="30"/>
      <c r="W16" s="29">
        <v>1447.0</v>
      </c>
      <c r="X16" s="23">
        <f t="shared" si="9"/>
        <v>273844.75</v>
      </c>
      <c r="Y16" s="30">
        <v>84.0</v>
      </c>
      <c r="Z16" s="19">
        <f t="shared" si="10"/>
        <v>15897</v>
      </c>
      <c r="AA16" s="24">
        <f t="shared" si="11"/>
        <v>0.05805114029</v>
      </c>
      <c r="AB16" s="25"/>
    </row>
    <row r="17">
      <c r="A17" s="26">
        <v>10.0</v>
      </c>
      <c r="B17" s="27" t="s">
        <v>29</v>
      </c>
      <c r="C17" s="26" t="s">
        <v>30</v>
      </c>
      <c r="D17" s="26">
        <v>128.86</v>
      </c>
      <c r="E17" s="28">
        <v>550.0</v>
      </c>
      <c r="F17" s="29">
        <f t="shared" si="1"/>
        <v>710.5</v>
      </c>
      <c r="G17" s="23">
        <f t="shared" si="2"/>
        <v>91555.03</v>
      </c>
      <c r="H17" s="30"/>
      <c r="I17" s="31"/>
      <c r="J17" s="31">
        <v>710.5</v>
      </c>
      <c r="K17" s="19">
        <f t="shared" si="3"/>
        <v>91555.03</v>
      </c>
      <c r="L17" s="22">
        <v>0.0</v>
      </c>
      <c r="M17" s="96">
        <f t="shared" si="4"/>
        <v>0</v>
      </c>
      <c r="N17" s="32">
        <f t="shared" si="5"/>
        <v>0</v>
      </c>
      <c r="O17" s="31">
        <f t="shared" si="6"/>
        <v>710.5</v>
      </c>
      <c r="P17" s="22">
        <f t="shared" si="7"/>
        <v>91555.03</v>
      </c>
      <c r="Q17" s="30"/>
      <c r="R17" s="30"/>
      <c r="S17" s="30">
        <v>710.5</v>
      </c>
      <c r="T17" s="18">
        <f t="shared" si="8"/>
        <v>91555.03</v>
      </c>
      <c r="U17" s="30"/>
      <c r="V17" s="30"/>
      <c r="W17" s="29">
        <v>1421.0</v>
      </c>
      <c r="X17" s="23">
        <f t="shared" si="9"/>
        <v>183110.06</v>
      </c>
      <c r="Y17" s="30">
        <v>0.0</v>
      </c>
      <c r="Z17" s="19">
        <f t="shared" si="10"/>
        <v>0</v>
      </c>
      <c r="AA17" s="24">
        <f t="shared" si="11"/>
        <v>0</v>
      </c>
      <c r="AB17" s="25"/>
    </row>
    <row r="18">
      <c r="A18" s="26">
        <v>11.0</v>
      </c>
      <c r="B18" s="27" t="s">
        <v>31</v>
      </c>
      <c r="C18" s="26" t="s">
        <v>32</v>
      </c>
      <c r="D18" s="26">
        <v>94.9</v>
      </c>
      <c r="E18" s="28">
        <v>650.0</v>
      </c>
      <c r="F18" s="29">
        <f t="shared" si="1"/>
        <v>839.5</v>
      </c>
      <c r="G18" s="23">
        <f t="shared" si="2"/>
        <v>79668.55</v>
      </c>
      <c r="H18" s="30"/>
      <c r="I18" s="31"/>
      <c r="J18" s="31">
        <v>839.5</v>
      </c>
      <c r="K18" s="19">
        <f t="shared" si="3"/>
        <v>79668.55</v>
      </c>
      <c r="L18" s="22">
        <v>10.0</v>
      </c>
      <c r="M18" s="96">
        <f t="shared" si="4"/>
        <v>949</v>
      </c>
      <c r="N18" s="32">
        <f t="shared" si="5"/>
        <v>0.01191185229</v>
      </c>
      <c r="O18" s="31">
        <f t="shared" si="6"/>
        <v>839.5</v>
      </c>
      <c r="P18" s="22">
        <f t="shared" si="7"/>
        <v>79668.55</v>
      </c>
      <c r="Q18" s="30"/>
      <c r="R18" s="30"/>
      <c r="S18" s="30">
        <v>839.5</v>
      </c>
      <c r="T18" s="18">
        <f t="shared" si="8"/>
        <v>79668.55</v>
      </c>
      <c r="U18" s="30"/>
      <c r="V18" s="30"/>
      <c r="W18" s="29">
        <v>1679.0</v>
      </c>
      <c r="X18" s="23">
        <f t="shared" si="9"/>
        <v>159337.1</v>
      </c>
      <c r="Y18" s="30">
        <v>195.0</v>
      </c>
      <c r="Z18" s="19">
        <f t="shared" si="10"/>
        <v>18505.5</v>
      </c>
      <c r="AA18" s="24">
        <f t="shared" si="11"/>
        <v>0.1161405599</v>
      </c>
      <c r="AB18" s="25"/>
    </row>
    <row r="19">
      <c r="A19" s="26">
        <v>12.0</v>
      </c>
      <c r="B19" s="27" t="s">
        <v>33</v>
      </c>
      <c r="C19" s="26" t="s">
        <v>34</v>
      </c>
      <c r="D19" s="26">
        <v>85.33</v>
      </c>
      <c r="E19" s="28">
        <v>550.0</v>
      </c>
      <c r="F19" s="29">
        <f t="shared" si="1"/>
        <v>710.5</v>
      </c>
      <c r="G19" s="23">
        <f t="shared" si="2"/>
        <v>60626.965</v>
      </c>
      <c r="H19" s="30"/>
      <c r="I19" s="31"/>
      <c r="J19" s="31">
        <v>710.5</v>
      </c>
      <c r="K19" s="19">
        <f t="shared" si="3"/>
        <v>60626.965</v>
      </c>
      <c r="L19" s="22">
        <v>177.0</v>
      </c>
      <c r="M19" s="96">
        <f t="shared" si="4"/>
        <v>15103.41</v>
      </c>
      <c r="N19" s="32">
        <f t="shared" si="5"/>
        <v>0.2491203378</v>
      </c>
      <c r="O19" s="31">
        <f t="shared" si="6"/>
        <v>710.5</v>
      </c>
      <c r="P19" s="22">
        <f t="shared" si="7"/>
        <v>60626.965</v>
      </c>
      <c r="Q19" s="30"/>
      <c r="R19" s="30"/>
      <c r="S19" s="30">
        <v>710.5</v>
      </c>
      <c r="T19" s="18">
        <f t="shared" si="8"/>
        <v>60626.965</v>
      </c>
      <c r="U19" s="30"/>
      <c r="V19" s="30"/>
      <c r="W19" s="29">
        <v>1421.0</v>
      </c>
      <c r="X19" s="23">
        <f t="shared" si="9"/>
        <v>121253.93</v>
      </c>
      <c r="Y19" s="30">
        <v>430.0</v>
      </c>
      <c r="Z19" s="19">
        <f t="shared" si="10"/>
        <v>36691.9</v>
      </c>
      <c r="AA19" s="24">
        <f t="shared" si="11"/>
        <v>0.3026038001</v>
      </c>
      <c r="AB19" s="25"/>
    </row>
    <row r="20">
      <c r="A20" s="26">
        <v>13.0</v>
      </c>
      <c r="B20" s="27" t="s">
        <v>35</v>
      </c>
      <c r="C20" s="26" t="s">
        <v>34</v>
      </c>
      <c r="D20" s="26">
        <v>64.65</v>
      </c>
      <c r="E20" s="28">
        <v>200.0</v>
      </c>
      <c r="F20" s="29">
        <f t="shared" si="1"/>
        <v>258.5</v>
      </c>
      <c r="G20" s="23">
        <f t="shared" si="2"/>
        <v>16712.025</v>
      </c>
      <c r="H20" s="30"/>
      <c r="I20" s="31"/>
      <c r="J20" s="31">
        <v>258.5</v>
      </c>
      <c r="K20" s="19">
        <f t="shared" si="3"/>
        <v>16712.025</v>
      </c>
      <c r="L20" s="22">
        <v>0.0</v>
      </c>
      <c r="M20" s="96">
        <f t="shared" si="4"/>
        <v>0</v>
      </c>
      <c r="N20" s="32">
        <f t="shared" si="5"/>
        <v>0</v>
      </c>
      <c r="O20" s="31">
        <f t="shared" si="6"/>
        <v>258.5</v>
      </c>
      <c r="P20" s="22">
        <f t="shared" si="7"/>
        <v>16712.025</v>
      </c>
      <c r="Q20" s="30"/>
      <c r="R20" s="30"/>
      <c r="S20" s="30">
        <v>258.5</v>
      </c>
      <c r="T20" s="18">
        <f t="shared" si="8"/>
        <v>16712.025</v>
      </c>
      <c r="U20" s="30"/>
      <c r="V20" s="30"/>
      <c r="W20" s="29">
        <v>517.0</v>
      </c>
      <c r="X20" s="23">
        <f t="shared" si="9"/>
        <v>33424.05</v>
      </c>
      <c r="Y20" s="30">
        <v>0.0</v>
      </c>
      <c r="Z20" s="19">
        <f t="shared" si="10"/>
        <v>0</v>
      </c>
      <c r="AA20" s="24">
        <f t="shared" si="11"/>
        <v>0</v>
      </c>
      <c r="AB20" s="25"/>
    </row>
    <row r="21" ht="15.75" customHeight="1">
      <c r="A21" s="26">
        <v>14.0</v>
      </c>
      <c r="B21" s="27" t="s">
        <v>36</v>
      </c>
      <c r="C21" s="26" t="s">
        <v>28</v>
      </c>
      <c r="D21" s="26">
        <v>99.39</v>
      </c>
      <c r="E21" s="28">
        <v>150.0</v>
      </c>
      <c r="F21" s="29">
        <f t="shared" si="1"/>
        <v>194</v>
      </c>
      <c r="G21" s="23">
        <f t="shared" si="2"/>
        <v>19281.66</v>
      </c>
      <c r="H21" s="30"/>
      <c r="I21" s="31"/>
      <c r="J21" s="31">
        <v>194.0</v>
      </c>
      <c r="K21" s="19">
        <f t="shared" si="3"/>
        <v>19281.66</v>
      </c>
      <c r="L21" s="22">
        <v>0.0</v>
      </c>
      <c r="M21" s="96">
        <f t="shared" si="4"/>
        <v>0</v>
      </c>
      <c r="N21" s="32">
        <f t="shared" si="5"/>
        <v>0</v>
      </c>
      <c r="O21" s="31">
        <f t="shared" si="6"/>
        <v>194</v>
      </c>
      <c r="P21" s="22">
        <f t="shared" si="7"/>
        <v>19281.66</v>
      </c>
      <c r="Q21" s="30"/>
      <c r="R21" s="30"/>
      <c r="S21" s="30">
        <v>194.0</v>
      </c>
      <c r="T21" s="18">
        <f t="shared" si="8"/>
        <v>19281.66</v>
      </c>
      <c r="U21" s="30"/>
      <c r="V21" s="30"/>
      <c r="W21" s="29">
        <v>388.0</v>
      </c>
      <c r="X21" s="23">
        <f t="shared" si="9"/>
        <v>38563.32</v>
      </c>
      <c r="Y21" s="30">
        <v>0.0</v>
      </c>
      <c r="Z21" s="19">
        <f t="shared" si="10"/>
        <v>0</v>
      </c>
      <c r="AA21" s="24">
        <f t="shared" si="11"/>
        <v>0</v>
      </c>
      <c r="AB21" s="25"/>
    </row>
    <row r="22" ht="15.75" customHeight="1">
      <c r="A22" s="33">
        <v>15.0</v>
      </c>
      <c r="B22" s="34" t="s">
        <v>37</v>
      </c>
      <c r="C22" s="33" t="s">
        <v>21</v>
      </c>
      <c r="D22" s="33">
        <v>89.64</v>
      </c>
      <c r="E22" s="35">
        <v>300.0</v>
      </c>
      <c r="F22" s="36">
        <f t="shared" si="1"/>
        <v>387.5</v>
      </c>
      <c r="G22" s="37">
        <f t="shared" si="2"/>
        <v>34735.5</v>
      </c>
      <c r="H22" s="38"/>
      <c r="I22" s="39"/>
      <c r="J22" s="39">
        <v>387.5</v>
      </c>
      <c r="K22" s="19">
        <f t="shared" si="3"/>
        <v>34735.5</v>
      </c>
      <c r="L22" s="91">
        <v>95.0</v>
      </c>
      <c r="M22" s="96">
        <f t="shared" si="4"/>
        <v>8515.8</v>
      </c>
      <c r="N22" s="80">
        <f t="shared" si="5"/>
        <v>0.2451612903</v>
      </c>
      <c r="O22" s="39">
        <f t="shared" si="6"/>
        <v>387.5</v>
      </c>
      <c r="P22" s="22">
        <f t="shared" si="7"/>
        <v>34735.5</v>
      </c>
      <c r="Q22" s="38"/>
      <c r="R22" s="38"/>
      <c r="S22" s="38">
        <v>387.5</v>
      </c>
      <c r="T22" s="18">
        <f t="shared" si="8"/>
        <v>34735.5</v>
      </c>
      <c r="U22" s="38"/>
      <c r="V22" s="38"/>
      <c r="W22" s="36">
        <v>775.0</v>
      </c>
      <c r="X22" s="23">
        <f t="shared" si="9"/>
        <v>69471</v>
      </c>
      <c r="Y22" s="38">
        <v>115.0</v>
      </c>
      <c r="Z22" s="19">
        <f t="shared" si="10"/>
        <v>10308.6</v>
      </c>
      <c r="AA22" s="24">
        <f t="shared" si="11"/>
        <v>0.1483870968</v>
      </c>
      <c r="AB22" s="25"/>
    </row>
    <row r="23" ht="15.75" customHeight="1">
      <c r="A23" s="41" t="s">
        <v>38</v>
      </c>
      <c r="B23" s="7"/>
      <c r="C23" s="8"/>
      <c r="D23" s="42"/>
      <c r="E23" s="43"/>
      <c r="F23" s="44">
        <f>SUM(F8:F22)</f>
        <v>7121.5</v>
      </c>
      <c r="G23" s="45">
        <f t="shared" si="2"/>
        <v>0</v>
      </c>
      <c r="H23" s="46"/>
      <c r="I23" s="46"/>
      <c r="J23" s="47">
        <f t="shared" ref="J23:M23" si="12">SUM(J8:J22)</f>
        <v>7121.5</v>
      </c>
      <c r="K23" s="47">
        <f t="shared" si="12"/>
        <v>773943.19</v>
      </c>
      <c r="L23" s="47">
        <f t="shared" si="12"/>
        <v>992</v>
      </c>
      <c r="M23" s="97">
        <f t="shared" si="12"/>
        <v>108103.7</v>
      </c>
      <c r="N23" s="98">
        <f t="shared" si="5"/>
        <v>0.1392964965</v>
      </c>
      <c r="O23" s="84">
        <f>SUM(O8:O22)</f>
        <v>7121.5</v>
      </c>
      <c r="P23" s="50">
        <f t="shared" si="7"/>
        <v>0</v>
      </c>
      <c r="Q23" s="46"/>
      <c r="R23" s="46"/>
      <c r="S23" s="47">
        <f t="shared" ref="S23:T23" si="13">SUM(S8:S22)</f>
        <v>7121.5</v>
      </c>
      <c r="T23" s="47">
        <f t="shared" si="13"/>
        <v>773943.19</v>
      </c>
      <c r="U23" s="47"/>
      <c r="V23" s="47"/>
      <c r="W23" s="51">
        <f>SUM(W8:W22)</f>
        <v>14243</v>
      </c>
      <c r="X23" s="52">
        <f t="shared" si="9"/>
        <v>0</v>
      </c>
      <c r="Y23" s="46">
        <v>2503.0</v>
      </c>
      <c r="Z23" s="19"/>
      <c r="AA23" s="24">
        <f t="shared" si="11"/>
        <v>0.175735449</v>
      </c>
    </row>
    <row r="24" ht="15.75" customHeight="1">
      <c r="A24" s="41" t="s">
        <v>39</v>
      </c>
      <c r="B24" s="7"/>
      <c r="C24" s="8"/>
      <c r="D24" s="53"/>
      <c r="E24" s="54">
        <f>SUM(E8:E23)</f>
        <v>5512</v>
      </c>
      <c r="F24" s="55">
        <f>G24</f>
        <v>773943.19</v>
      </c>
      <c r="G24" s="55">
        <f>SUM(G8:G23)</f>
        <v>773943.19</v>
      </c>
      <c r="H24" s="55"/>
      <c r="I24" s="55"/>
      <c r="J24" s="70">
        <f>K23</f>
        <v>773943.19</v>
      </c>
      <c r="K24" s="70"/>
      <c r="L24" s="70">
        <f>M23</f>
        <v>108103.7</v>
      </c>
      <c r="M24" s="99"/>
      <c r="N24" s="71">
        <f t="shared" si="5"/>
        <v>0.1396791152</v>
      </c>
      <c r="O24" s="86">
        <f>P24</f>
        <v>773943.19</v>
      </c>
      <c r="P24" s="55">
        <f>SUM(P8:P23)</f>
        <v>773943.19</v>
      </c>
      <c r="Q24" s="55"/>
      <c r="R24" s="55"/>
      <c r="S24" s="55">
        <f>T23</f>
        <v>773943.19</v>
      </c>
      <c r="T24" s="55"/>
      <c r="U24" s="55"/>
      <c r="V24" s="55"/>
      <c r="W24" s="55">
        <f>X24</f>
        <v>1547886.38</v>
      </c>
      <c r="X24" s="55">
        <f>SUM(X8:X23)</f>
        <v>1547886.38</v>
      </c>
      <c r="Y24" s="55"/>
      <c r="Z24" s="86"/>
      <c r="AA24" s="61">
        <f t="shared" si="11"/>
        <v>0</v>
      </c>
      <c r="AB24" s="58"/>
    </row>
    <row r="25" ht="15.75" customHeight="1">
      <c r="B25" s="62"/>
      <c r="C25" s="62"/>
      <c r="D25" s="62"/>
      <c r="E25" s="62"/>
      <c r="F25" s="63"/>
      <c r="G25" s="62"/>
      <c r="H25" s="62"/>
      <c r="I25" s="62"/>
      <c r="J25" s="62"/>
      <c r="K25" s="62"/>
      <c r="L25" s="62"/>
      <c r="M25" s="62"/>
      <c r="N25" s="62"/>
      <c r="O25" s="64"/>
    </row>
    <row r="26" ht="15.75" customHeight="1">
      <c r="B26" s="65"/>
      <c r="D26" s="42"/>
      <c r="E26" s="42"/>
    </row>
    <row r="27" ht="15.75" customHeight="1">
      <c r="D27" s="42"/>
      <c r="E27" s="42"/>
    </row>
    <row r="28" ht="15.75" customHeight="1">
      <c r="D28" s="42"/>
      <c r="E28" s="42"/>
    </row>
    <row r="29" ht="15.75" customHeight="1">
      <c r="D29" s="42"/>
      <c r="E29" s="42"/>
    </row>
    <row r="30" ht="15.75" customHeight="1">
      <c r="D30" s="42"/>
      <c r="E30" s="42"/>
    </row>
    <row r="31" ht="15.75" customHeight="1">
      <c r="D31" s="42"/>
      <c r="E31" s="42"/>
    </row>
    <row r="32" ht="15.75" customHeight="1">
      <c r="D32" s="42"/>
      <c r="E32" s="42"/>
    </row>
    <row r="33" ht="15.75" customHeight="1">
      <c r="D33" s="42"/>
      <c r="E33" s="42"/>
    </row>
    <row r="34" ht="15.75" customHeight="1">
      <c r="D34" s="42"/>
      <c r="E34" s="42"/>
    </row>
    <row r="35" ht="15.75" customHeight="1">
      <c r="D35" s="42"/>
      <c r="E35" s="42"/>
    </row>
    <row r="36" ht="15.75" customHeight="1">
      <c r="D36" s="42"/>
      <c r="E36" s="42"/>
    </row>
    <row r="37" ht="15.75" customHeight="1">
      <c r="D37" s="42"/>
      <c r="E37" s="42"/>
    </row>
    <row r="38" ht="15.75" customHeight="1">
      <c r="D38" s="42"/>
      <c r="E38" s="42"/>
    </row>
    <row r="39" ht="15.75" customHeight="1">
      <c r="D39" s="42"/>
      <c r="E39" s="42"/>
    </row>
    <row r="40" ht="15.75" customHeight="1">
      <c r="D40" s="42"/>
      <c r="E40" s="42"/>
    </row>
    <row r="41" ht="15.75" customHeight="1">
      <c r="D41" s="42"/>
      <c r="E41" s="42"/>
    </row>
    <row r="42" ht="15.75" customHeight="1">
      <c r="D42" s="42"/>
      <c r="E42" s="42"/>
    </row>
    <row r="43" ht="15.75" customHeight="1">
      <c r="D43" s="42"/>
      <c r="E43" s="42"/>
    </row>
    <row r="44" ht="15.75" customHeight="1">
      <c r="D44" s="42"/>
      <c r="E44" s="42"/>
    </row>
    <row r="45" ht="15.75" customHeight="1">
      <c r="D45" s="42"/>
      <c r="E45" s="42"/>
    </row>
    <row r="46" ht="15.75" customHeight="1">
      <c r="D46" s="42"/>
      <c r="E46" s="42"/>
    </row>
    <row r="47" ht="15.75" customHeight="1">
      <c r="D47" s="42"/>
      <c r="E47" s="42"/>
    </row>
    <row r="48" ht="15.75" customHeight="1">
      <c r="D48" s="42"/>
      <c r="E48" s="42"/>
    </row>
    <row r="49" ht="15.75" customHeight="1">
      <c r="D49" s="42"/>
      <c r="E49" s="42"/>
    </row>
    <row r="50" ht="15.75" customHeight="1">
      <c r="D50" s="42"/>
      <c r="E50" s="42"/>
    </row>
    <row r="51" ht="15.75" customHeight="1">
      <c r="D51" s="42"/>
      <c r="E51" s="42"/>
    </row>
    <row r="52" ht="15.75" customHeight="1">
      <c r="D52" s="42"/>
      <c r="E52" s="42"/>
    </row>
    <row r="53" ht="15.75" customHeight="1">
      <c r="D53" s="42"/>
      <c r="E53" s="42"/>
    </row>
    <row r="54" ht="15.75" customHeight="1">
      <c r="D54" s="42"/>
      <c r="E54" s="42"/>
    </row>
    <row r="55" ht="15.75" customHeight="1">
      <c r="D55" s="42"/>
      <c r="E55" s="42"/>
    </row>
    <row r="56" ht="15.75" customHeight="1">
      <c r="D56" s="42"/>
      <c r="E56" s="42"/>
    </row>
    <row r="57" ht="15.75" customHeight="1">
      <c r="D57" s="42"/>
      <c r="E57" s="42"/>
    </row>
    <row r="58" ht="15.75" customHeight="1">
      <c r="D58" s="42"/>
      <c r="E58" s="42"/>
    </row>
    <row r="59" ht="15.75" customHeight="1">
      <c r="D59" s="42"/>
      <c r="E59" s="42"/>
    </row>
    <row r="60" ht="15.75" customHeight="1">
      <c r="D60" s="42"/>
      <c r="E60" s="42"/>
    </row>
    <row r="61" ht="15.75" customHeight="1">
      <c r="D61" s="42"/>
      <c r="E61" s="42"/>
    </row>
    <row r="62" ht="15.75" customHeight="1">
      <c r="D62" s="42"/>
      <c r="E62" s="42"/>
    </row>
    <row r="63" ht="15.75" customHeight="1">
      <c r="D63" s="42"/>
      <c r="E63" s="42"/>
    </row>
    <row r="64" ht="15.75" customHeight="1">
      <c r="D64" s="42"/>
      <c r="E64" s="42"/>
    </row>
    <row r="65" ht="15.75" customHeight="1">
      <c r="D65" s="42"/>
      <c r="E65" s="42"/>
    </row>
    <row r="66" ht="15.75" customHeight="1">
      <c r="D66" s="42"/>
      <c r="E66" s="42"/>
    </row>
    <row r="67" ht="15.75" customHeight="1">
      <c r="D67" s="42"/>
      <c r="E67" s="42"/>
    </row>
    <row r="68" ht="15.75" customHeight="1">
      <c r="D68" s="42"/>
      <c r="E68" s="42"/>
    </row>
    <row r="69" ht="15.75" customHeight="1">
      <c r="D69" s="42"/>
      <c r="E69" s="42"/>
    </row>
    <row r="70" ht="15.75" customHeight="1">
      <c r="D70" s="42"/>
      <c r="E70" s="42"/>
    </row>
    <row r="71" ht="15.75" customHeight="1">
      <c r="D71" s="42"/>
      <c r="E71" s="42"/>
    </row>
    <row r="72" ht="15.75" customHeight="1">
      <c r="D72" s="42"/>
      <c r="E72" s="42"/>
    </row>
    <row r="73" ht="15.75" customHeight="1">
      <c r="D73" s="42"/>
      <c r="E73" s="42"/>
    </row>
    <row r="74" ht="15.75" customHeight="1">
      <c r="D74" s="42"/>
      <c r="E74" s="42"/>
    </row>
    <row r="75" ht="15.75" customHeight="1">
      <c r="D75" s="42"/>
      <c r="E75" s="42"/>
    </row>
    <row r="76" ht="15.75" customHeight="1">
      <c r="D76" s="42"/>
      <c r="E76" s="42"/>
    </row>
    <row r="77" ht="15.75" customHeight="1">
      <c r="D77" s="42"/>
      <c r="E77" s="42"/>
    </row>
    <row r="78" ht="15.75" customHeight="1">
      <c r="D78" s="42"/>
      <c r="E78" s="42"/>
    </row>
    <row r="79" ht="15.75" customHeight="1">
      <c r="D79" s="42"/>
      <c r="E79" s="42"/>
    </row>
    <row r="80" ht="15.75" customHeight="1">
      <c r="D80" s="42"/>
      <c r="E80" s="42"/>
    </row>
    <row r="81" ht="15.75" customHeight="1">
      <c r="D81" s="42"/>
      <c r="E81" s="42"/>
    </row>
    <row r="82" ht="15.75" customHeight="1">
      <c r="D82" s="42"/>
      <c r="E82" s="42"/>
    </row>
    <row r="83" ht="15.75" customHeight="1">
      <c r="D83" s="42"/>
      <c r="E83" s="42"/>
    </row>
    <row r="84" ht="15.75" customHeight="1">
      <c r="D84" s="42"/>
      <c r="E84" s="42"/>
    </row>
    <row r="85" ht="15.75" customHeight="1">
      <c r="D85" s="42"/>
      <c r="E85" s="42"/>
    </row>
    <row r="86" ht="15.75" customHeight="1">
      <c r="D86" s="42"/>
      <c r="E86" s="42"/>
    </row>
    <row r="87" ht="15.75" customHeight="1">
      <c r="D87" s="42"/>
      <c r="E87" s="42"/>
    </row>
    <row r="88" ht="15.75" customHeight="1">
      <c r="D88" s="42"/>
      <c r="E88" s="42"/>
    </row>
    <row r="89" ht="15.75" customHeight="1">
      <c r="D89" s="42"/>
      <c r="E89" s="42"/>
    </row>
    <row r="90" ht="15.75" customHeight="1">
      <c r="D90" s="42"/>
      <c r="E90" s="42"/>
    </row>
    <row r="91" ht="15.75" customHeight="1">
      <c r="D91" s="42"/>
      <c r="E91" s="42"/>
    </row>
    <row r="92" ht="15.75" customHeight="1">
      <c r="D92" s="42"/>
      <c r="E92" s="42"/>
    </row>
    <row r="93" ht="15.75" customHeight="1">
      <c r="D93" s="42"/>
      <c r="E93" s="42"/>
    </row>
    <row r="94" ht="15.75" customHeight="1">
      <c r="D94" s="42"/>
      <c r="E94" s="42"/>
    </row>
    <row r="95" ht="15.75" customHeight="1">
      <c r="D95" s="42"/>
      <c r="E95" s="42"/>
    </row>
    <row r="96" ht="15.75" customHeight="1">
      <c r="D96" s="42"/>
      <c r="E96" s="42"/>
    </row>
    <row r="97" ht="15.75" customHeight="1">
      <c r="D97" s="42"/>
      <c r="E97" s="42"/>
    </row>
    <row r="98" ht="15.75" customHeight="1">
      <c r="D98" s="42"/>
      <c r="E98" s="42"/>
    </row>
    <row r="99" ht="15.75" customHeight="1">
      <c r="D99" s="42"/>
      <c r="E99" s="42"/>
    </row>
    <row r="100" ht="15.75" customHeight="1">
      <c r="D100" s="42"/>
      <c r="E100" s="42"/>
    </row>
    <row r="101" ht="15.75" customHeight="1">
      <c r="D101" s="42"/>
      <c r="E101" s="42"/>
    </row>
    <row r="102" ht="15.75" customHeight="1">
      <c r="D102" s="42"/>
      <c r="E102" s="42"/>
    </row>
    <row r="103" ht="15.75" customHeight="1">
      <c r="D103" s="42"/>
      <c r="E103" s="42"/>
    </row>
    <row r="104" ht="15.75" customHeight="1">
      <c r="D104" s="42"/>
      <c r="E104" s="42"/>
    </row>
    <row r="105" ht="15.75" customHeight="1">
      <c r="D105" s="42"/>
      <c r="E105" s="42"/>
    </row>
    <row r="106" ht="15.75" customHeight="1">
      <c r="D106" s="42"/>
      <c r="E106" s="42"/>
    </row>
    <row r="107" ht="15.75" customHeight="1">
      <c r="D107" s="42"/>
      <c r="E107" s="42"/>
    </row>
    <row r="108" ht="15.75" customHeight="1">
      <c r="D108" s="42"/>
      <c r="E108" s="42"/>
    </row>
    <row r="109" ht="15.75" customHeight="1">
      <c r="D109" s="42"/>
      <c r="E109" s="42"/>
    </row>
    <row r="110" ht="15.75" customHeight="1">
      <c r="D110" s="42"/>
      <c r="E110" s="42"/>
    </row>
    <row r="111" ht="15.75" customHeight="1">
      <c r="D111" s="42"/>
      <c r="E111" s="42"/>
    </row>
    <row r="112" ht="15.75" customHeight="1">
      <c r="D112" s="42"/>
      <c r="E112" s="42"/>
    </row>
    <row r="113" ht="15.75" customHeight="1">
      <c r="D113" s="42"/>
      <c r="E113" s="42"/>
    </row>
    <row r="114" ht="15.75" customHeight="1">
      <c r="D114" s="42"/>
      <c r="E114" s="42"/>
    </row>
    <row r="115" ht="15.75" customHeight="1">
      <c r="D115" s="42"/>
      <c r="E115" s="42"/>
    </row>
    <row r="116" ht="15.75" customHeight="1">
      <c r="D116" s="42"/>
      <c r="E116" s="42"/>
    </row>
    <row r="117" ht="15.75" customHeight="1">
      <c r="D117" s="42"/>
      <c r="E117" s="42"/>
    </row>
    <row r="118" ht="15.75" customHeight="1">
      <c r="D118" s="42"/>
      <c r="E118" s="42"/>
    </row>
    <row r="119" ht="15.75" customHeight="1">
      <c r="D119" s="42"/>
      <c r="E119" s="42"/>
    </row>
    <row r="120" ht="15.75" customHeight="1">
      <c r="D120" s="42"/>
      <c r="E120" s="42"/>
    </row>
    <row r="121" ht="15.75" customHeight="1">
      <c r="D121" s="42"/>
      <c r="E121" s="42"/>
    </row>
    <row r="122" ht="15.75" customHeight="1">
      <c r="D122" s="42"/>
      <c r="E122" s="42"/>
    </row>
    <row r="123" ht="15.75" customHeight="1">
      <c r="D123" s="42"/>
      <c r="E123" s="42"/>
    </row>
    <row r="124" ht="15.75" customHeight="1">
      <c r="D124" s="42"/>
      <c r="E124" s="42"/>
    </row>
    <row r="125" ht="15.75" customHeight="1">
      <c r="D125" s="42"/>
      <c r="E125" s="42"/>
    </row>
    <row r="126" ht="15.75" customHeight="1">
      <c r="D126" s="42"/>
      <c r="E126" s="42"/>
    </row>
    <row r="127" ht="15.75" customHeight="1">
      <c r="D127" s="42"/>
      <c r="E127" s="42"/>
    </row>
    <row r="128" ht="15.75" customHeight="1">
      <c r="D128" s="42"/>
      <c r="E128" s="42"/>
    </row>
    <row r="129" ht="15.75" customHeight="1">
      <c r="D129" s="42"/>
      <c r="E129" s="42"/>
    </row>
    <row r="130" ht="15.75" customHeight="1">
      <c r="D130" s="42"/>
      <c r="E130" s="42"/>
    </row>
    <row r="131" ht="15.75" customHeight="1">
      <c r="D131" s="42"/>
      <c r="E131" s="42"/>
    </row>
    <row r="132" ht="15.75" customHeight="1">
      <c r="D132" s="42"/>
      <c r="E132" s="42"/>
    </row>
    <row r="133" ht="15.75" customHeight="1">
      <c r="D133" s="42"/>
      <c r="E133" s="42"/>
    </row>
    <row r="134" ht="15.75" customHeight="1">
      <c r="D134" s="42"/>
      <c r="E134" s="42"/>
    </row>
    <row r="135" ht="15.75" customHeight="1">
      <c r="D135" s="42"/>
      <c r="E135" s="42"/>
    </row>
    <row r="136" ht="15.75" customHeight="1">
      <c r="D136" s="42"/>
      <c r="E136" s="42"/>
    </row>
    <row r="137" ht="15.75" customHeight="1">
      <c r="D137" s="42"/>
      <c r="E137" s="42"/>
    </row>
    <row r="138" ht="15.75" customHeight="1">
      <c r="D138" s="42"/>
      <c r="E138" s="42"/>
    </row>
    <row r="139" ht="15.75" customHeight="1">
      <c r="D139" s="42"/>
      <c r="E139" s="42"/>
    </row>
    <row r="140" ht="15.75" customHeight="1">
      <c r="D140" s="42"/>
      <c r="E140" s="42"/>
    </row>
    <row r="141" ht="15.75" customHeight="1">
      <c r="D141" s="42"/>
      <c r="E141" s="42"/>
    </row>
    <row r="142" ht="15.75" customHeight="1">
      <c r="D142" s="42"/>
      <c r="E142" s="42"/>
    </row>
    <row r="143" ht="15.75" customHeight="1">
      <c r="D143" s="42"/>
      <c r="E143" s="42"/>
    </row>
    <row r="144" ht="15.75" customHeight="1">
      <c r="D144" s="42"/>
      <c r="E144" s="42"/>
    </row>
    <row r="145" ht="15.75" customHeight="1">
      <c r="D145" s="42"/>
      <c r="E145" s="42"/>
    </row>
    <row r="146" ht="15.75" customHeight="1">
      <c r="D146" s="42"/>
      <c r="E146" s="42"/>
    </row>
    <row r="147" ht="15.75" customHeight="1">
      <c r="D147" s="42"/>
      <c r="E147" s="42"/>
    </row>
    <row r="148" ht="15.75" customHeight="1">
      <c r="D148" s="42"/>
      <c r="E148" s="42"/>
    </row>
    <row r="149" ht="15.75" customHeight="1">
      <c r="D149" s="42"/>
      <c r="E149" s="42"/>
    </row>
    <row r="150" ht="15.75" customHeight="1">
      <c r="D150" s="42"/>
      <c r="E150" s="42"/>
    </row>
    <row r="151" ht="15.75" customHeight="1">
      <c r="D151" s="42"/>
      <c r="E151" s="42"/>
    </row>
    <row r="152" ht="15.75" customHeight="1">
      <c r="D152" s="42"/>
      <c r="E152" s="42"/>
    </row>
    <row r="153" ht="15.75" customHeight="1">
      <c r="D153" s="42"/>
      <c r="E153" s="42"/>
    </row>
    <row r="154" ht="15.75" customHeight="1">
      <c r="D154" s="42"/>
      <c r="E154" s="42"/>
    </row>
    <row r="155" ht="15.75" customHeight="1">
      <c r="D155" s="42"/>
      <c r="E155" s="42"/>
    </row>
    <row r="156" ht="15.75" customHeight="1">
      <c r="D156" s="42"/>
      <c r="E156" s="42"/>
    </row>
    <row r="157" ht="15.75" customHeight="1">
      <c r="D157" s="42"/>
      <c r="E157" s="42"/>
    </row>
    <row r="158" ht="15.75" customHeight="1">
      <c r="D158" s="42"/>
      <c r="E158" s="42"/>
    </row>
    <row r="159" ht="15.75" customHeight="1">
      <c r="D159" s="42"/>
      <c r="E159" s="42"/>
    </row>
    <row r="160" ht="15.75" customHeight="1">
      <c r="D160" s="42"/>
      <c r="E160" s="42"/>
    </row>
    <row r="161" ht="15.75" customHeight="1">
      <c r="D161" s="42"/>
      <c r="E161" s="42"/>
    </row>
    <row r="162" ht="15.75" customHeight="1">
      <c r="D162" s="42"/>
      <c r="E162" s="42"/>
    </row>
    <row r="163" ht="15.75" customHeight="1">
      <c r="D163" s="42"/>
      <c r="E163" s="42"/>
    </row>
    <row r="164" ht="15.75" customHeight="1">
      <c r="D164" s="42"/>
      <c r="E164" s="42"/>
    </row>
    <row r="165" ht="15.75" customHeight="1">
      <c r="D165" s="42"/>
      <c r="E165" s="42"/>
    </row>
    <row r="166" ht="15.75" customHeight="1">
      <c r="D166" s="42"/>
      <c r="E166" s="42"/>
    </row>
    <row r="167" ht="15.75" customHeight="1">
      <c r="D167" s="42"/>
      <c r="E167" s="42"/>
    </row>
    <row r="168" ht="15.75" customHeight="1">
      <c r="D168" s="42"/>
      <c r="E168" s="42"/>
    </row>
    <row r="169" ht="15.75" customHeight="1">
      <c r="D169" s="42"/>
      <c r="E169" s="42"/>
    </row>
    <row r="170" ht="15.75" customHeight="1">
      <c r="D170" s="42"/>
      <c r="E170" s="42"/>
    </row>
    <row r="171" ht="15.75" customHeight="1">
      <c r="D171" s="42"/>
      <c r="E171" s="42"/>
    </row>
    <row r="172" ht="15.75" customHeight="1">
      <c r="D172" s="42"/>
      <c r="E172" s="42"/>
    </row>
    <row r="173" ht="15.75" customHeight="1">
      <c r="D173" s="42"/>
      <c r="E173" s="42"/>
    </row>
    <row r="174" ht="15.75" customHeight="1">
      <c r="D174" s="42"/>
      <c r="E174" s="42"/>
    </row>
    <row r="175" ht="15.75" customHeight="1">
      <c r="D175" s="42"/>
      <c r="E175" s="42"/>
    </row>
    <row r="176" ht="15.75" customHeight="1">
      <c r="D176" s="42"/>
      <c r="E176" s="42"/>
    </row>
    <row r="177" ht="15.75" customHeight="1">
      <c r="D177" s="42"/>
      <c r="E177" s="42"/>
    </row>
    <row r="178" ht="15.75" customHeight="1">
      <c r="D178" s="42"/>
      <c r="E178" s="42"/>
    </row>
    <row r="179" ht="15.75" customHeight="1">
      <c r="D179" s="42"/>
      <c r="E179" s="42"/>
    </row>
    <row r="180" ht="15.75" customHeight="1">
      <c r="D180" s="42"/>
      <c r="E180" s="42"/>
    </row>
    <row r="181" ht="15.75" customHeight="1">
      <c r="D181" s="42"/>
      <c r="E181" s="42"/>
    </row>
    <row r="182" ht="15.75" customHeight="1">
      <c r="D182" s="42"/>
      <c r="E182" s="42"/>
    </row>
    <row r="183" ht="15.75" customHeight="1">
      <c r="D183" s="42"/>
      <c r="E183" s="42"/>
    </row>
    <row r="184" ht="15.75" customHeight="1">
      <c r="D184" s="42"/>
      <c r="E184" s="42"/>
    </row>
    <row r="185" ht="15.75" customHeight="1">
      <c r="D185" s="42"/>
      <c r="E185" s="42"/>
    </row>
    <row r="186" ht="15.75" customHeight="1">
      <c r="D186" s="42"/>
      <c r="E186" s="42"/>
    </row>
    <row r="187" ht="15.75" customHeight="1">
      <c r="D187" s="42"/>
      <c r="E187" s="42"/>
    </row>
    <row r="188" ht="15.75" customHeight="1">
      <c r="D188" s="42"/>
      <c r="E188" s="42"/>
    </row>
    <row r="189" ht="15.75" customHeight="1">
      <c r="D189" s="42"/>
      <c r="E189" s="42"/>
    </row>
    <row r="190" ht="15.75" customHeight="1">
      <c r="D190" s="42"/>
      <c r="E190" s="42"/>
    </row>
    <row r="191" ht="15.75" customHeight="1">
      <c r="D191" s="42"/>
      <c r="E191" s="42"/>
    </row>
    <row r="192" ht="15.75" customHeight="1">
      <c r="D192" s="42"/>
      <c r="E192" s="42"/>
    </row>
    <row r="193" ht="15.75" customHeight="1">
      <c r="D193" s="42"/>
      <c r="E193" s="42"/>
    </row>
    <row r="194" ht="15.75" customHeight="1">
      <c r="D194" s="42"/>
      <c r="E194" s="42"/>
    </row>
    <row r="195" ht="15.75" customHeight="1">
      <c r="D195" s="42"/>
      <c r="E195" s="42"/>
    </row>
    <row r="196" ht="15.75" customHeight="1">
      <c r="D196" s="42"/>
      <c r="E196" s="42"/>
    </row>
    <row r="197" ht="15.75" customHeight="1">
      <c r="D197" s="42"/>
      <c r="E197" s="42"/>
    </row>
    <row r="198" ht="15.75" customHeight="1">
      <c r="D198" s="42"/>
      <c r="E198" s="42"/>
    </row>
    <row r="199" ht="15.75" customHeight="1">
      <c r="D199" s="42"/>
      <c r="E199" s="42"/>
    </row>
    <row r="200" ht="15.75" customHeight="1">
      <c r="D200" s="42"/>
      <c r="E200" s="42"/>
    </row>
    <row r="201" ht="15.75" customHeight="1">
      <c r="D201" s="42"/>
      <c r="E201" s="42"/>
    </row>
    <row r="202" ht="15.75" customHeight="1">
      <c r="D202" s="42"/>
      <c r="E202" s="42"/>
    </row>
    <row r="203" ht="15.75" customHeight="1">
      <c r="D203" s="42"/>
      <c r="E203" s="42"/>
    </row>
    <row r="204" ht="15.75" customHeight="1">
      <c r="D204" s="42"/>
      <c r="E204" s="42"/>
    </row>
    <row r="205" ht="15.75" customHeight="1">
      <c r="D205" s="42"/>
      <c r="E205" s="42"/>
    </row>
    <row r="206" ht="15.75" customHeight="1">
      <c r="D206" s="42"/>
      <c r="E206" s="42"/>
    </row>
    <row r="207" ht="15.75" customHeight="1">
      <c r="D207" s="42"/>
      <c r="E207" s="42"/>
    </row>
    <row r="208" ht="15.75" customHeight="1">
      <c r="D208" s="42"/>
      <c r="E208" s="42"/>
    </row>
    <row r="209" ht="15.75" customHeight="1">
      <c r="D209" s="42"/>
      <c r="E209" s="42"/>
    </row>
    <row r="210" ht="15.75" customHeight="1">
      <c r="D210" s="42"/>
      <c r="E210" s="42"/>
    </row>
    <row r="211" ht="15.75" customHeight="1">
      <c r="D211" s="42"/>
      <c r="E211" s="42"/>
    </row>
    <row r="212" ht="15.75" customHeight="1">
      <c r="D212" s="42"/>
      <c r="E212" s="42"/>
    </row>
    <row r="213" ht="15.75" customHeight="1">
      <c r="D213" s="42"/>
      <c r="E213" s="42"/>
    </row>
    <row r="214" ht="15.75" customHeight="1">
      <c r="D214" s="42"/>
      <c r="E214" s="42"/>
    </row>
    <row r="215" ht="15.75" customHeight="1">
      <c r="D215" s="42"/>
      <c r="E215" s="42"/>
    </row>
    <row r="216" ht="15.75" customHeight="1">
      <c r="D216" s="42"/>
      <c r="E216" s="42"/>
    </row>
    <row r="217" ht="15.75" customHeight="1">
      <c r="D217" s="42"/>
      <c r="E217" s="42"/>
    </row>
    <row r="218" ht="15.75" customHeight="1">
      <c r="D218" s="42"/>
      <c r="E218" s="42"/>
    </row>
    <row r="219" ht="15.75" customHeight="1">
      <c r="D219" s="42"/>
      <c r="E219" s="42"/>
    </row>
    <row r="220" ht="15.75" customHeight="1">
      <c r="D220" s="42"/>
      <c r="E220" s="42"/>
    </row>
    <row r="221" ht="15.75" customHeight="1">
      <c r="D221" s="42"/>
      <c r="E221" s="42"/>
    </row>
    <row r="222" ht="15.75" customHeight="1">
      <c r="D222" s="42"/>
      <c r="E222" s="42"/>
    </row>
    <row r="223" ht="15.75" customHeight="1">
      <c r="D223" s="42"/>
      <c r="E223" s="42"/>
    </row>
    <row r="224" ht="15.75" customHeight="1">
      <c r="D224" s="42"/>
      <c r="E224" s="42"/>
    </row>
    <row r="225" ht="15.75" customHeight="1">
      <c r="D225" s="42"/>
      <c r="E225" s="42"/>
    </row>
    <row r="226" ht="15.75" customHeight="1">
      <c r="D226" s="42"/>
      <c r="E226" s="42"/>
    </row>
    <row r="227" ht="15.75" customHeight="1">
      <c r="D227" s="42"/>
      <c r="E227" s="42"/>
    </row>
    <row r="228" ht="15.75" customHeight="1">
      <c r="D228" s="42"/>
      <c r="E228" s="42"/>
    </row>
    <row r="229" ht="15.75" customHeight="1">
      <c r="D229" s="42"/>
      <c r="E229" s="42"/>
    </row>
    <row r="230" ht="15.75" customHeight="1">
      <c r="D230" s="42"/>
      <c r="E230" s="42"/>
    </row>
    <row r="231" ht="15.75" customHeight="1">
      <c r="D231" s="42"/>
      <c r="E231" s="42"/>
    </row>
    <row r="232" ht="15.75" customHeight="1">
      <c r="D232" s="42"/>
      <c r="E232" s="42"/>
    </row>
    <row r="233" ht="15.75" customHeight="1">
      <c r="D233" s="42"/>
      <c r="E233" s="42"/>
    </row>
    <row r="234" ht="15.75" customHeight="1">
      <c r="D234" s="42"/>
      <c r="E234" s="42"/>
    </row>
    <row r="235" ht="15.75" customHeight="1">
      <c r="D235" s="42"/>
      <c r="E235" s="42"/>
    </row>
    <row r="236" ht="15.75" customHeight="1">
      <c r="D236" s="42"/>
      <c r="E236" s="42"/>
    </row>
    <row r="237" ht="15.75" customHeight="1">
      <c r="D237" s="42"/>
      <c r="E237" s="42"/>
    </row>
    <row r="238" ht="15.75" customHeight="1">
      <c r="D238" s="42"/>
      <c r="E238" s="42"/>
    </row>
    <row r="239" ht="15.75" customHeight="1">
      <c r="D239" s="42"/>
      <c r="E239" s="42"/>
    </row>
    <row r="240" ht="15.75" customHeight="1">
      <c r="D240" s="42"/>
      <c r="E240" s="42"/>
    </row>
    <row r="241" ht="15.75" customHeight="1">
      <c r="D241" s="42"/>
      <c r="E241" s="42"/>
    </row>
    <row r="242" ht="15.75" customHeight="1">
      <c r="D242" s="42"/>
      <c r="E242" s="42"/>
    </row>
    <row r="243" ht="15.75" customHeight="1">
      <c r="D243" s="42"/>
      <c r="E243" s="42"/>
    </row>
    <row r="244" ht="15.75" customHeight="1">
      <c r="D244" s="42"/>
      <c r="E244" s="42"/>
    </row>
    <row r="245" ht="15.75" customHeight="1">
      <c r="D245" s="42"/>
      <c r="E245" s="42"/>
    </row>
    <row r="246" ht="15.75" customHeight="1">
      <c r="D246" s="42"/>
      <c r="E246" s="42"/>
    </row>
    <row r="247" ht="15.75" customHeight="1">
      <c r="D247" s="42"/>
      <c r="E247" s="42"/>
    </row>
    <row r="248" ht="15.75" customHeight="1">
      <c r="D248" s="42"/>
      <c r="E248" s="42"/>
    </row>
    <row r="249" ht="15.75" customHeight="1">
      <c r="D249" s="42"/>
      <c r="E249" s="42"/>
    </row>
    <row r="250" ht="15.75" customHeight="1">
      <c r="D250" s="42"/>
      <c r="E250" s="42"/>
    </row>
    <row r="251" ht="15.75" customHeight="1">
      <c r="D251" s="42"/>
      <c r="E251" s="42"/>
    </row>
    <row r="252" ht="15.75" customHeight="1">
      <c r="D252" s="42"/>
      <c r="E252" s="42"/>
    </row>
    <row r="253" ht="15.75" customHeight="1">
      <c r="D253" s="42"/>
      <c r="E253" s="42"/>
    </row>
    <row r="254" ht="15.75" customHeight="1">
      <c r="D254" s="42"/>
      <c r="E254" s="42"/>
    </row>
    <row r="255" ht="15.75" customHeight="1">
      <c r="D255" s="42"/>
      <c r="E255" s="42"/>
    </row>
    <row r="256" ht="15.75" customHeight="1">
      <c r="D256" s="42"/>
      <c r="E256" s="42"/>
    </row>
    <row r="257" ht="15.75" customHeight="1">
      <c r="D257" s="42"/>
      <c r="E257" s="42"/>
    </row>
    <row r="258" ht="15.75" customHeight="1">
      <c r="D258" s="42"/>
      <c r="E258" s="42"/>
    </row>
    <row r="259" ht="15.75" customHeight="1">
      <c r="D259" s="42"/>
      <c r="E259" s="42"/>
    </row>
    <row r="260" ht="15.75" customHeight="1">
      <c r="D260" s="42"/>
      <c r="E260" s="42"/>
    </row>
    <row r="261" ht="15.75" customHeight="1">
      <c r="D261" s="42"/>
      <c r="E261" s="42"/>
    </row>
    <row r="262" ht="15.75" customHeight="1">
      <c r="D262" s="42"/>
      <c r="E262" s="42"/>
    </row>
    <row r="263" ht="15.75" customHeight="1">
      <c r="D263" s="42"/>
      <c r="E263" s="42"/>
    </row>
    <row r="264" ht="15.75" customHeight="1">
      <c r="D264" s="42"/>
      <c r="E264" s="42"/>
    </row>
    <row r="265" ht="15.75" customHeight="1">
      <c r="D265" s="42"/>
      <c r="E265" s="42"/>
    </row>
    <row r="266" ht="15.75" customHeight="1">
      <c r="D266" s="42"/>
      <c r="E266" s="42"/>
    </row>
    <row r="267" ht="15.75" customHeight="1">
      <c r="D267" s="42"/>
      <c r="E267" s="42"/>
    </row>
    <row r="268" ht="15.75" customHeight="1">
      <c r="D268" s="42"/>
      <c r="E268" s="42"/>
    </row>
    <row r="269" ht="15.75" customHeight="1">
      <c r="D269" s="42"/>
      <c r="E269" s="42"/>
    </row>
    <row r="270" ht="15.75" customHeight="1">
      <c r="D270" s="42"/>
      <c r="E270" s="42"/>
    </row>
    <row r="271" ht="15.75" customHeight="1">
      <c r="D271" s="42"/>
      <c r="E271" s="42"/>
    </row>
    <row r="272" ht="15.75" customHeight="1">
      <c r="D272" s="42"/>
      <c r="E272" s="42"/>
    </row>
    <row r="273" ht="15.75" customHeight="1">
      <c r="D273" s="42"/>
      <c r="E273" s="42"/>
    </row>
    <row r="274" ht="15.75" customHeight="1">
      <c r="D274" s="42"/>
      <c r="E274" s="42"/>
    </row>
    <row r="275" ht="15.75" customHeight="1">
      <c r="D275" s="42"/>
      <c r="E275" s="42"/>
    </row>
    <row r="276" ht="15.75" customHeight="1">
      <c r="D276" s="42"/>
      <c r="E276" s="42"/>
    </row>
    <row r="277" ht="15.75" customHeight="1">
      <c r="D277" s="42"/>
      <c r="E277" s="42"/>
    </row>
    <row r="278" ht="15.75" customHeight="1">
      <c r="D278" s="42"/>
      <c r="E278" s="42"/>
    </row>
    <row r="279" ht="15.75" customHeight="1">
      <c r="D279" s="42"/>
      <c r="E279" s="42"/>
    </row>
    <row r="280" ht="15.75" customHeight="1">
      <c r="D280" s="42"/>
      <c r="E280" s="42"/>
    </row>
    <row r="281" ht="15.75" customHeight="1">
      <c r="D281" s="42"/>
      <c r="E281" s="42"/>
    </row>
    <row r="282" ht="15.75" customHeight="1">
      <c r="D282" s="42"/>
      <c r="E282" s="42"/>
    </row>
    <row r="283" ht="15.75" customHeight="1">
      <c r="D283" s="42"/>
      <c r="E283" s="42"/>
    </row>
    <row r="284" ht="15.75" customHeight="1">
      <c r="D284" s="42"/>
      <c r="E284" s="42"/>
    </row>
    <row r="285" ht="15.75" customHeight="1">
      <c r="D285" s="42"/>
      <c r="E285" s="42"/>
    </row>
    <row r="286" ht="15.75" customHeight="1">
      <c r="D286" s="42"/>
      <c r="E286" s="42"/>
    </row>
    <row r="287" ht="15.75" customHeight="1">
      <c r="D287" s="42"/>
      <c r="E287" s="42"/>
    </row>
    <row r="288" ht="15.75" customHeight="1">
      <c r="D288" s="42"/>
      <c r="E288" s="42"/>
    </row>
    <row r="289" ht="15.75" customHeight="1">
      <c r="D289" s="42"/>
      <c r="E289" s="42"/>
    </row>
    <row r="290" ht="15.75" customHeight="1">
      <c r="D290" s="42"/>
      <c r="E290" s="42"/>
    </row>
    <row r="291" ht="15.75" customHeight="1">
      <c r="D291" s="42"/>
      <c r="E291" s="42"/>
    </row>
    <row r="292" ht="15.75" customHeight="1">
      <c r="D292" s="42"/>
      <c r="E292" s="42"/>
    </row>
    <row r="293" ht="15.75" customHeight="1">
      <c r="D293" s="42"/>
      <c r="E293" s="42"/>
    </row>
    <row r="294" ht="15.75" customHeight="1">
      <c r="D294" s="42"/>
      <c r="E294" s="42"/>
    </row>
    <row r="295" ht="15.75" customHeight="1">
      <c r="D295" s="42"/>
      <c r="E295" s="42"/>
    </row>
    <row r="296" ht="15.75" customHeight="1">
      <c r="D296" s="42"/>
      <c r="E296" s="42"/>
    </row>
    <row r="297" ht="15.75" customHeight="1">
      <c r="D297" s="42"/>
      <c r="E297" s="42"/>
    </row>
    <row r="298" ht="15.75" customHeight="1">
      <c r="D298" s="42"/>
      <c r="E298" s="42"/>
    </row>
    <row r="299" ht="15.75" customHeight="1">
      <c r="D299" s="42"/>
      <c r="E299" s="42"/>
    </row>
    <row r="300" ht="15.75" customHeight="1">
      <c r="D300" s="42"/>
      <c r="E300" s="42"/>
    </row>
    <row r="301" ht="15.75" customHeight="1">
      <c r="D301" s="42"/>
      <c r="E301" s="42"/>
    </row>
    <row r="302" ht="15.75" customHeight="1">
      <c r="D302" s="42"/>
      <c r="E302" s="42"/>
    </row>
    <row r="303" ht="15.75" customHeight="1">
      <c r="D303" s="42"/>
      <c r="E303" s="42"/>
    </row>
    <row r="304" ht="15.75" customHeight="1">
      <c r="D304" s="42"/>
      <c r="E304" s="42"/>
    </row>
    <row r="305" ht="15.75" customHeight="1">
      <c r="D305" s="42"/>
      <c r="E305" s="42"/>
    </row>
    <row r="306" ht="15.75" customHeight="1">
      <c r="D306" s="42"/>
      <c r="E306" s="42"/>
    </row>
    <row r="307" ht="15.75" customHeight="1">
      <c r="D307" s="42"/>
      <c r="E307" s="42"/>
    </row>
    <row r="308" ht="15.75" customHeight="1">
      <c r="D308" s="42"/>
      <c r="E308" s="42"/>
    </row>
    <row r="309" ht="15.75" customHeight="1">
      <c r="D309" s="42"/>
      <c r="E309" s="42"/>
    </row>
    <row r="310" ht="15.75" customHeight="1">
      <c r="D310" s="42"/>
      <c r="E310" s="42"/>
    </row>
    <row r="311" ht="15.75" customHeight="1">
      <c r="D311" s="42"/>
      <c r="E311" s="42"/>
    </row>
    <row r="312" ht="15.75" customHeight="1">
      <c r="D312" s="42"/>
      <c r="E312" s="42"/>
    </row>
    <row r="313" ht="15.75" customHeight="1">
      <c r="D313" s="42"/>
      <c r="E313" s="42"/>
    </row>
    <row r="314" ht="15.75" customHeight="1">
      <c r="D314" s="42"/>
      <c r="E314" s="42"/>
    </row>
    <row r="315" ht="15.75" customHeight="1">
      <c r="D315" s="42"/>
      <c r="E315" s="42"/>
    </row>
    <row r="316" ht="15.75" customHeight="1">
      <c r="D316" s="42"/>
      <c r="E316" s="42"/>
    </row>
    <row r="317" ht="15.75" customHeight="1">
      <c r="D317" s="42"/>
      <c r="E317" s="42"/>
    </row>
    <row r="318" ht="15.75" customHeight="1">
      <c r="D318" s="42"/>
      <c r="E318" s="42"/>
    </row>
    <row r="319" ht="15.75" customHeight="1">
      <c r="D319" s="42"/>
      <c r="E319" s="42"/>
    </row>
    <row r="320" ht="15.75" customHeight="1">
      <c r="D320" s="42"/>
      <c r="E320" s="42"/>
    </row>
    <row r="321" ht="15.75" customHeight="1">
      <c r="D321" s="42"/>
      <c r="E321" s="42"/>
    </row>
    <row r="322" ht="15.75" customHeight="1">
      <c r="D322" s="42"/>
      <c r="E322" s="42"/>
    </row>
    <row r="323" ht="15.75" customHeight="1">
      <c r="D323" s="42"/>
      <c r="E323" s="42"/>
    </row>
    <row r="324" ht="15.75" customHeight="1">
      <c r="D324" s="42"/>
      <c r="E324" s="42"/>
    </row>
    <row r="325" ht="15.75" customHeight="1">
      <c r="D325" s="42"/>
      <c r="E325" s="42"/>
    </row>
    <row r="326" ht="15.75" customHeight="1">
      <c r="D326" s="42"/>
      <c r="E326" s="42"/>
    </row>
    <row r="327" ht="15.75" customHeight="1">
      <c r="D327" s="42"/>
      <c r="E327" s="42"/>
    </row>
    <row r="328" ht="15.75" customHeight="1">
      <c r="D328" s="42"/>
      <c r="E328" s="42"/>
    </row>
    <row r="329" ht="15.75" customHeight="1">
      <c r="D329" s="42"/>
      <c r="E329" s="42"/>
    </row>
    <row r="330" ht="15.75" customHeight="1">
      <c r="D330" s="42"/>
      <c r="E330" s="42"/>
    </row>
    <row r="331" ht="15.75" customHeight="1">
      <c r="D331" s="42"/>
      <c r="E331" s="42"/>
    </row>
    <row r="332" ht="15.75" customHeight="1">
      <c r="D332" s="42"/>
      <c r="E332" s="42"/>
    </row>
    <row r="333" ht="15.75" customHeight="1">
      <c r="D333" s="42"/>
      <c r="E333" s="42"/>
    </row>
    <row r="334" ht="15.75" customHeight="1">
      <c r="D334" s="42"/>
      <c r="E334" s="42"/>
    </row>
    <row r="335" ht="15.75" customHeight="1">
      <c r="D335" s="42"/>
      <c r="E335" s="42"/>
    </row>
    <row r="336" ht="15.75" customHeight="1">
      <c r="D336" s="42"/>
      <c r="E336" s="42"/>
    </row>
    <row r="337" ht="15.75" customHeight="1">
      <c r="D337" s="42"/>
      <c r="E337" s="42"/>
    </row>
    <row r="338" ht="15.75" customHeight="1">
      <c r="D338" s="42"/>
      <c r="E338" s="42"/>
    </row>
    <row r="339" ht="15.75" customHeight="1">
      <c r="D339" s="42"/>
      <c r="E339" s="42"/>
    </row>
    <row r="340" ht="15.75" customHeight="1">
      <c r="D340" s="42"/>
      <c r="E340" s="42"/>
    </row>
    <row r="341" ht="15.75" customHeight="1">
      <c r="D341" s="42"/>
      <c r="E341" s="42"/>
    </row>
    <row r="342" ht="15.75" customHeight="1">
      <c r="D342" s="42"/>
      <c r="E342" s="42"/>
    </row>
    <row r="343" ht="15.75" customHeight="1">
      <c r="D343" s="42"/>
      <c r="E343" s="42"/>
    </row>
    <row r="344" ht="15.75" customHeight="1">
      <c r="D344" s="42"/>
      <c r="E344" s="42"/>
    </row>
    <row r="345" ht="15.75" customHeight="1">
      <c r="D345" s="42"/>
      <c r="E345" s="42"/>
    </row>
    <row r="346" ht="15.75" customHeight="1">
      <c r="D346" s="42"/>
      <c r="E346" s="42"/>
    </row>
    <row r="347" ht="15.75" customHeight="1">
      <c r="D347" s="42"/>
      <c r="E347" s="42"/>
    </row>
    <row r="348" ht="15.75" customHeight="1">
      <c r="D348" s="42"/>
      <c r="E348" s="42"/>
    </row>
    <row r="349" ht="15.75" customHeight="1">
      <c r="D349" s="42"/>
      <c r="E349" s="42"/>
    </row>
    <row r="350" ht="15.75" customHeight="1">
      <c r="D350" s="42"/>
      <c r="E350" s="42"/>
    </row>
    <row r="351" ht="15.75" customHeight="1">
      <c r="D351" s="42"/>
      <c r="E351" s="42"/>
    </row>
    <row r="352" ht="15.75" customHeight="1">
      <c r="D352" s="42"/>
      <c r="E352" s="42"/>
    </row>
    <row r="353" ht="15.75" customHeight="1">
      <c r="D353" s="42"/>
      <c r="E353" s="42"/>
    </row>
    <row r="354" ht="15.75" customHeight="1">
      <c r="D354" s="42"/>
      <c r="E354" s="42"/>
    </row>
    <row r="355" ht="15.75" customHeight="1">
      <c r="D355" s="42"/>
      <c r="E355" s="42"/>
    </row>
    <row r="356" ht="15.75" customHeight="1">
      <c r="D356" s="42"/>
      <c r="E356" s="42"/>
    </row>
    <row r="357" ht="15.75" customHeight="1">
      <c r="D357" s="42"/>
      <c r="E357" s="42"/>
    </row>
    <row r="358" ht="15.75" customHeight="1">
      <c r="D358" s="42"/>
      <c r="E358" s="42"/>
    </row>
    <row r="359" ht="15.75" customHeight="1">
      <c r="D359" s="42"/>
      <c r="E359" s="42"/>
    </row>
    <row r="360" ht="15.75" customHeight="1">
      <c r="D360" s="42"/>
      <c r="E360" s="42"/>
    </row>
    <row r="361" ht="15.75" customHeight="1">
      <c r="D361" s="42"/>
      <c r="E361" s="42"/>
    </row>
    <row r="362" ht="15.75" customHeight="1">
      <c r="D362" s="42"/>
      <c r="E362" s="42"/>
    </row>
    <row r="363" ht="15.75" customHeight="1">
      <c r="D363" s="42"/>
      <c r="E363" s="42"/>
    </row>
    <row r="364" ht="15.75" customHeight="1">
      <c r="D364" s="42"/>
      <c r="E364" s="42"/>
    </row>
    <row r="365" ht="15.75" customHeight="1">
      <c r="D365" s="42"/>
      <c r="E365" s="42"/>
    </row>
    <row r="366" ht="15.75" customHeight="1">
      <c r="D366" s="42"/>
      <c r="E366" s="42"/>
    </row>
    <row r="367" ht="15.75" customHeight="1">
      <c r="D367" s="42"/>
      <c r="E367" s="42"/>
    </row>
    <row r="368" ht="15.75" customHeight="1">
      <c r="D368" s="42"/>
      <c r="E368" s="42"/>
    </row>
    <row r="369" ht="15.75" customHeight="1">
      <c r="D369" s="42"/>
      <c r="E369" s="42"/>
    </row>
    <row r="370" ht="15.75" customHeight="1">
      <c r="D370" s="42"/>
      <c r="E370" s="42"/>
    </row>
    <row r="371" ht="15.75" customHeight="1">
      <c r="D371" s="42"/>
      <c r="E371" s="42"/>
    </row>
    <row r="372" ht="15.75" customHeight="1">
      <c r="D372" s="42"/>
      <c r="E372" s="42"/>
    </row>
    <row r="373" ht="15.75" customHeight="1">
      <c r="D373" s="42"/>
      <c r="E373" s="42"/>
    </row>
    <row r="374" ht="15.75" customHeight="1">
      <c r="D374" s="42"/>
      <c r="E374" s="42"/>
    </row>
    <row r="375" ht="15.75" customHeight="1">
      <c r="D375" s="42"/>
      <c r="E375" s="42"/>
    </row>
    <row r="376" ht="15.75" customHeight="1">
      <c r="D376" s="42"/>
      <c r="E376" s="42"/>
    </row>
    <row r="377" ht="15.75" customHeight="1">
      <c r="D377" s="42"/>
      <c r="E377" s="42"/>
    </row>
    <row r="378" ht="15.75" customHeight="1">
      <c r="D378" s="42"/>
      <c r="E378" s="42"/>
    </row>
    <row r="379" ht="15.75" customHeight="1">
      <c r="D379" s="42"/>
      <c r="E379" s="42"/>
    </row>
    <row r="380" ht="15.75" customHeight="1">
      <c r="D380" s="42"/>
      <c r="E380" s="42"/>
    </row>
    <row r="381" ht="15.75" customHeight="1">
      <c r="D381" s="42"/>
      <c r="E381" s="42"/>
    </row>
    <row r="382" ht="15.75" customHeight="1">
      <c r="D382" s="42"/>
      <c r="E382" s="42"/>
    </row>
    <row r="383" ht="15.75" customHeight="1">
      <c r="D383" s="42"/>
      <c r="E383" s="42"/>
    </row>
    <row r="384" ht="15.75" customHeight="1">
      <c r="D384" s="42"/>
      <c r="E384" s="42"/>
    </row>
    <row r="385" ht="15.75" customHeight="1">
      <c r="D385" s="42"/>
      <c r="E385" s="42"/>
    </row>
    <row r="386" ht="15.75" customHeight="1">
      <c r="D386" s="42"/>
      <c r="E386" s="42"/>
    </row>
    <row r="387" ht="15.75" customHeight="1">
      <c r="D387" s="42"/>
      <c r="E387" s="42"/>
    </row>
    <row r="388" ht="15.75" customHeight="1">
      <c r="D388" s="42"/>
      <c r="E388" s="42"/>
    </row>
    <row r="389" ht="15.75" customHeight="1">
      <c r="D389" s="42"/>
      <c r="E389" s="42"/>
    </row>
    <row r="390" ht="15.75" customHeight="1">
      <c r="D390" s="42"/>
      <c r="E390" s="42"/>
    </row>
    <row r="391" ht="15.75" customHeight="1">
      <c r="D391" s="42"/>
      <c r="E391" s="42"/>
    </row>
    <row r="392" ht="15.75" customHeight="1">
      <c r="D392" s="42"/>
      <c r="E392" s="42"/>
    </row>
    <row r="393" ht="15.75" customHeight="1">
      <c r="D393" s="42"/>
      <c r="E393" s="42"/>
    </row>
    <row r="394" ht="15.75" customHeight="1">
      <c r="D394" s="42"/>
      <c r="E394" s="42"/>
    </row>
    <row r="395" ht="15.75" customHeight="1">
      <c r="D395" s="42"/>
      <c r="E395" s="42"/>
    </row>
    <row r="396" ht="15.75" customHeight="1">
      <c r="D396" s="42"/>
      <c r="E396" s="42"/>
    </row>
    <row r="397" ht="15.75" customHeight="1">
      <c r="D397" s="42"/>
      <c r="E397" s="42"/>
    </row>
    <row r="398" ht="15.75" customHeight="1">
      <c r="D398" s="42"/>
      <c r="E398" s="42"/>
    </row>
    <row r="399" ht="15.75" customHeight="1">
      <c r="D399" s="42"/>
      <c r="E399" s="42"/>
    </row>
    <row r="400" ht="15.75" customHeight="1">
      <c r="D400" s="42"/>
      <c r="E400" s="42"/>
    </row>
    <row r="401" ht="15.75" customHeight="1">
      <c r="D401" s="42"/>
      <c r="E401" s="42"/>
    </row>
    <row r="402" ht="15.75" customHeight="1">
      <c r="D402" s="42"/>
      <c r="E402" s="42"/>
    </row>
    <row r="403" ht="15.75" customHeight="1">
      <c r="D403" s="42"/>
      <c r="E403" s="42"/>
    </row>
    <row r="404" ht="15.75" customHeight="1">
      <c r="D404" s="42"/>
      <c r="E404" s="42"/>
    </row>
    <row r="405" ht="15.75" customHeight="1">
      <c r="D405" s="42"/>
      <c r="E405" s="42"/>
    </row>
    <row r="406" ht="15.75" customHeight="1">
      <c r="D406" s="42"/>
      <c r="E406" s="42"/>
    </row>
    <row r="407" ht="15.75" customHeight="1">
      <c r="D407" s="42"/>
      <c r="E407" s="42"/>
    </row>
    <row r="408" ht="15.75" customHeight="1">
      <c r="D408" s="42"/>
      <c r="E408" s="42"/>
    </row>
    <row r="409" ht="15.75" customHeight="1">
      <c r="D409" s="42"/>
      <c r="E409" s="42"/>
    </row>
    <row r="410" ht="15.75" customHeight="1">
      <c r="D410" s="42"/>
      <c r="E410" s="42"/>
    </row>
    <row r="411" ht="15.75" customHeight="1">
      <c r="D411" s="42"/>
      <c r="E411" s="42"/>
    </row>
    <row r="412" ht="15.75" customHeight="1">
      <c r="D412" s="42"/>
      <c r="E412" s="42"/>
    </row>
    <row r="413" ht="15.75" customHeight="1">
      <c r="D413" s="42"/>
      <c r="E413" s="42"/>
    </row>
    <row r="414" ht="15.75" customHeight="1">
      <c r="D414" s="42"/>
      <c r="E414" s="42"/>
    </row>
    <row r="415" ht="15.75" customHeight="1">
      <c r="D415" s="42"/>
      <c r="E415" s="42"/>
    </row>
    <row r="416" ht="15.75" customHeight="1">
      <c r="D416" s="42"/>
      <c r="E416" s="42"/>
    </row>
    <row r="417" ht="15.75" customHeight="1">
      <c r="D417" s="42"/>
      <c r="E417" s="42"/>
    </row>
    <row r="418" ht="15.75" customHeight="1">
      <c r="D418" s="42"/>
      <c r="E418" s="42"/>
    </row>
    <row r="419" ht="15.75" customHeight="1">
      <c r="D419" s="42"/>
      <c r="E419" s="42"/>
    </row>
    <row r="420" ht="15.75" customHeight="1">
      <c r="D420" s="42"/>
      <c r="E420" s="42"/>
    </row>
    <row r="421" ht="15.75" customHeight="1">
      <c r="D421" s="42"/>
      <c r="E421" s="42"/>
    </row>
    <row r="422" ht="15.75" customHeight="1">
      <c r="D422" s="42"/>
      <c r="E422" s="42"/>
    </row>
    <row r="423" ht="15.75" customHeight="1">
      <c r="D423" s="42"/>
      <c r="E423" s="42"/>
    </row>
    <row r="424" ht="15.75" customHeight="1">
      <c r="D424" s="42"/>
      <c r="E424" s="42"/>
    </row>
    <row r="425" ht="15.75" customHeight="1">
      <c r="D425" s="42"/>
      <c r="E425" s="42"/>
    </row>
    <row r="426" ht="15.75" customHeight="1">
      <c r="D426" s="42"/>
      <c r="E426" s="42"/>
    </row>
    <row r="427" ht="15.75" customHeight="1">
      <c r="D427" s="42"/>
      <c r="E427" s="42"/>
    </row>
    <row r="428" ht="15.75" customHeight="1">
      <c r="D428" s="42"/>
      <c r="E428" s="42"/>
    </row>
    <row r="429" ht="15.75" customHeight="1">
      <c r="D429" s="42"/>
      <c r="E429" s="42"/>
    </row>
    <row r="430" ht="15.75" customHeight="1">
      <c r="D430" s="42"/>
      <c r="E430" s="42"/>
    </row>
    <row r="431" ht="15.75" customHeight="1">
      <c r="D431" s="42"/>
      <c r="E431" s="42"/>
    </row>
    <row r="432" ht="15.75" customHeight="1">
      <c r="D432" s="42"/>
      <c r="E432" s="42"/>
    </row>
    <row r="433" ht="15.75" customHeight="1">
      <c r="D433" s="42"/>
      <c r="E433" s="42"/>
    </row>
    <row r="434" ht="15.75" customHeight="1">
      <c r="D434" s="42"/>
      <c r="E434" s="42"/>
    </row>
    <row r="435" ht="15.75" customHeight="1">
      <c r="D435" s="42"/>
      <c r="E435" s="42"/>
    </row>
    <row r="436" ht="15.75" customHeight="1">
      <c r="D436" s="42"/>
      <c r="E436" s="42"/>
    </row>
    <row r="437" ht="15.75" customHeight="1">
      <c r="D437" s="42"/>
      <c r="E437" s="42"/>
    </row>
    <row r="438" ht="15.75" customHeight="1">
      <c r="D438" s="42"/>
      <c r="E438" s="42"/>
    </row>
    <row r="439" ht="15.75" customHeight="1">
      <c r="D439" s="42"/>
      <c r="E439" s="42"/>
    </row>
    <row r="440" ht="15.75" customHeight="1">
      <c r="D440" s="42"/>
      <c r="E440" s="42"/>
    </row>
    <row r="441" ht="15.75" customHeight="1">
      <c r="D441" s="42"/>
      <c r="E441" s="42"/>
    </row>
    <row r="442" ht="15.75" customHeight="1">
      <c r="D442" s="42"/>
      <c r="E442" s="42"/>
    </row>
    <row r="443" ht="15.75" customHeight="1">
      <c r="D443" s="42"/>
      <c r="E443" s="42"/>
    </row>
    <row r="444" ht="15.75" customHeight="1">
      <c r="D444" s="42"/>
      <c r="E444" s="42"/>
    </row>
    <row r="445" ht="15.75" customHeight="1">
      <c r="D445" s="42"/>
      <c r="E445" s="42"/>
    </row>
    <row r="446" ht="15.75" customHeight="1">
      <c r="D446" s="42"/>
      <c r="E446" s="42"/>
    </row>
    <row r="447" ht="15.75" customHeight="1">
      <c r="D447" s="42"/>
      <c r="E447" s="42"/>
    </row>
    <row r="448" ht="15.75" customHeight="1">
      <c r="D448" s="42"/>
      <c r="E448" s="42"/>
    </row>
    <row r="449" ht="15.75" customHeight="1">
      <c r="D449" s="42"/>
      <c r="E449" s="42"/>
    </row>
    <row r="450" ht="15.75" customHeight="1">
      <c r="D450" s="42"/>
      <c r="E450" s="42"/>
    </row>
    <row r="451" ht="15.75" customHeight="1">
      <c r="D451" s="42"/>
      <c r="E451" s="42"/>
    </row>
    <row r="452" ht="15.75" customHeight="1">
      <c r="D452" s="42"/>
      <c r="E452" s="42"/>
    </row>
    <row r="453" ht="15.75" customHeight="1">
      <c r="D453" s="42"/>
      <c r="E453" s="42"/>
    </row>
    <row r="454" ht="15.75" customHeight="1">
      <c r="D454" s="42"/>
      <c r="E454" s="42"/>
    </row>
    <row r="455" ht="15.75" customHeight="1">
      <c r="D455" s="42"/>
      <c r="E455" s="42"/>
    </row>
    <row r="456" ht="15.75" customHeight="1">
      <c r="D456" s="42"/>
      <c r="E456" s="42"/>
    </row>
    <row r="457" ht="15.75" customHeight="1">
      <c r="D457" s="42"/>
      <c r="E457" s="42"/>
    </row>
    <row r="458" ht="15.75" customHeight="1">
      <c r="D458" s="42"/>
      <c r="E458" s="42"/>
    </row>
    <row r="459" ht="15.75" customHeight="1">
      <c r="D459" s="42"/>
      <c r="E459" s="42"/>
    </row>
    <row r="460" ht="15.75" customHeight="1">
      <c r="D460" s="42"/>
      <c r="E460" s="42"/>
    </row>
    <row r="461" ht="15.75" customHeight="1">
      <c r="D461" s="42"/>
      <c r="E461" s="42"/>
    </row>
    <row r="462" ht="15.75" customHeight="1">
      <c r="D462" s="42"/>
      <c r="E462" s="42"/>
    </row>
    <row r="463" ht="15.75" customHeight="1">
      <c r="D463" s="42"/>
      <c r="E463" s="42"/>
    </row>
    <row r="464" ht="15.75" customHeight="1">
      <c r="D464" s="42"/>
      <c r="E464" s="42"/>
    </row>
    <row r="465" ht="15.75" customHeight="1">
      <c r="D465" s="42"/>
      <c r="E465" s="42"/>
    </row>
    <row r="466" ht="15.75" customHeight="1">
      <c r="D466" s="42"/>
      <c r="E466" s="42"/>
    </row>
    <row r="467" ht="15.75" customHeight="1">
      <c r="D467" s="42"/>
      <c r="E467" s="42"/>
    </row>
    <row r="468" ht="15.75" customHeight="1">
      <c r="D468" s="42"/>
      <c r="E468" s="42"/>
    </row>
    <row r="469" ht="15.75" customHeight="1">
      <c r="D469" s="42"/>
      <c r="E469" s="42"/>
    </row>
    <row r="470" ht="15.75" customHeight="1">
      <c r="D470" s="42"/>
      <c r="E470" s="42"/>
    </row>
    <row r="471" ht="15.75" customHeight="1">
      <c r="D471" s="42"/>
      <c r="E471" s="42"/>
    </row>
    <row r="472" ht="15.75" customHeight="1">
      <c r="D472" s="42"/>
      <c r="E472" s="42"/>
    </row>
    <row r="473" ht="15.75" customHeight="1">
      <c r="D473" s="42"/>
      <c r="E473" s="42"/>
    </row>
    <row r="474" ht="15.75" customHeight="1">
      <c r="D474" s="42"/>
      <c r="E474" s="42"/>
    </row>
    <row r="475" ht="15.75" customHeight="1">
      <c r="D475" s="42"/>
      <c r="E475" s="42"/>
    </row>
    <row r="476" ht="15.75" customHeight="1">
      <c r="D476" s="42"/>
      <c r="E476" s="42"/>
    </row>
    <row r="477" ht="15.75" customHeight="1">
      <c r="D477" s="42"/>
      <c r="E477" s="42"/>
    </row>
    <row r="478" ht="15.75" customHeight="1">
      <c r="D478" s="42"/>
      <c r="E478" s="42"/>
    </row>
    <row r="479" ht="15.75" customHeight="1">
      <c r="D479" s="42"/>
      <c r="E479" s="42"/>
    </row>
    <row r="480" ht="15.75" customHeight="1">
      <c r="D480" s="42"/>
      <c r="E480" s="42"/>
    </row>
    <row r="481" ht="15.75" customHeight="1">
      <c r="D481" s="42"/>
      <c r="E481" s="42"/>
    </row>
    <row r="482" ht="15.75" customHeight="1">
      <c r="D482" s="42"/>
      <c r="E482" s="42"/>
    </row>
    <row r="483" ht="15.75" customHeight="1">
      <c r="D483" s="42"/>
      <c r="E483" s="42"/>
    </row>
    <row r="484" ht="15.75" customHeight="1">
      <c r="D484" s="42"/>
      <c r="E484" s="42"/>
    </row>
    <row r="485" ht="15.75" customHeight="1">
      <c r="D485" s="42"/>
      <c r="E485" s="42"/>
    </row>
    <row r="486" ht="15.75" customHeight="1">
      <c r="D486" s="42"/>
      <c r="E486" s="42"/>
    </row>
    <row r="487" ht="15.75" customHeight="1">
      <c r="D487" s="42"/>
      <c r="E487" s="42"/>
    </row>
    <row r="488" ht="15.75" customHeight="1">
      <c r="D488" s="42"/>
      <c r="E488" s="42"/>
    </row>
    <row r="489" ht="15.75" customHeight="1">
      <c r="D489" s="42"/>
      <c r="E489" s="42"/>
    </row>
    <row r="490" ht="15.75" customHeight="1">
      <c r="D490" s="42"/>
      <c r="E490" s="42"/>
    </row>
    <row r="491" ht="15.75" customHeight="1">
      <c r="D491" s="42"/>
      <c r="E491" s="42"/>
    </row>
    <row r="492" ht="15.75" customHeight="1">
      <c r="D492" s="42"/>
      <c r="E492" s="42"/>
    </row>
    <row r="493" ht="15.75" customHeight="1">
      <c r="D493" s="42"/>
      <c r="E493" s="42"/>
    </row>
    <row r="494" ht="15.75" customHeight="1">
      <c r="D494" s="42"/>
      <c r="E494" s="42"/>
    </row>
    <row r="495" ht="15.75" customHeight="1">
      <c r="D495" s="42"/>
      <c r="E495" s="42"/>
    </row>
    <row r="496" ht="15.75" customHeight="1">
      <c r="D496" s="42"/>
      <c r="E496" s="42"/>
    </row>
    <row r="497" ht="15.75" customHeight="1">
      <c r="D497" s="42"/>
      <c r="E497" s="42"/>
    </row>
    <row r="498" ht="15.75" customHeight="1">
      <c r="D498" s="42"/>
      <c r="E498" s="42"/>
    </row>
    <row r="499" ht="15.75" customHeight="1">
      <c r="D499" s="42"/>
      <c r="E499" s="42"/>
    </row>
    <row r="500" ht="15.75" customHeight="1">
      <c r="D500" s="42"/>
      <c r="E500" s="42"/>
    </row>
    <row r="501" ht="15.75" customHeight="1">
      <c r="D501" s="42"/>
      <c r="E501" s="42"/>
    </row>
    <row r="502" ht="15.75" customHeight="1">
      <c r="D502" s="42"/>
      <c r="E502" s="42"/>
    </row>
    <row r="503" ht="15.75" customHeight="1">
      <c r="D503" s="42"/>
      <c r="E503" s="42"/>
    </row>
    <row r="504" ht="15.75" customHeight="1">
      <c r="D504" s="42"/>
      <c r="E504" s="42"/>
    </row>
    <row r="505" ht="15.75" customHeight="1">
      <c r="D505" s="42"/>
      <c r="E505" s="42"/>
    </row>
    <row r="506" ht="15.75" customHeight="1">
      <c r="D506" s="42"/>
      <c r="E506" s="42"/>
    </row>
    <row r="507" ht="15.75" customHeight="1">
      <c r="D507" s="42"/>
      <c r="E507" s="42"/>
    </row>
    <row r="508" ht="15.75" customHeight="1">
      <c r="D508" s="42"/>
      <c r="E508" s="42"/>
    </row>
    <row r="509" ht="15.75" customHeight="1">
      <c r="D509" s="42"/>
      <c r="E509" s="42"/>
    </row>
    <row r="510" ht="15.75" customHeight="1">
      <c r="D510" s="42"/>
      <c r="E510" s="42"/>
    </row>
    <row r="511" ht="15.75" customHeight="1">
      <c r="D511" s="42"/>
      <c r="E511" s="42"/>
    </row>
    <row r="512" ht="15.75" customHeight="1">
      <c r="D512" s="42"/>
      <c r="E512" s="42"/>
    </row>
    <row r="513" ht="15.75" customHeight="1">
      <c r="D513" s="42"/>
      <c r="E513" s="42"/>
    </row>
    <row r="514" ht="15.75" customHeight="1">
      <c r="D514" s="42"/>
      <c r="E514" s="42"/>
    </row>
    <row r="515" ht="15.75" customHeight="1">
      <c r="D515" s="42"/>
      <c r="E515" s="42"/>
    </row>
    <row r="516" ht="15.75" customHeight="1">
      <c r="D516" s="42"/>
      <c r="E516" s="42"/>
    </row>
    <row r="517" ht="15.75" customHeight="1">
      <c r="D517" s="42"/>
      <c r="E517" s="42"/>
    </row>
    <row r="518" ht="15.75" customHeight="1">
      <c r="D518" s="42"/>
      <c r="E518" s="42"/>
    </row>
    <row r="519" ht="15.75" customHeight="1">
      <c r="D519" s="42"/>
      <c r="E519" s="42"/>
    </row>
    <row r="520" ht="15.75" customHeight="1">
      <c r="D520" s="42"/>
      <c r="E520" s="42"/>
    </row>
    <row r="521" ht="15.75" customHeight="1">
      <c r="D521" s="42"/>
      <c r="E521" s="42"/>
    </row>
    <row r="522" ht="15.75" customHeight="1">
      <c r="D522" s="42"/>
      <c r="E522" s="42"/>
    </row>
    <row r="523" ht="15.75" customHeight="1">
      <c r="D523" s="42"/>
      <c r="E523" s="42"/>
    </row>
    <row r="524" ht="15.75" customHeight="1">
      <c r="D524" s="42"/>
      <c r="E524" s="42"/>
    </row>
    <row r="525" ht="15.75" customHeight="1">
      <c r="D525" s="42"/>
      <c r="E525" s="42"/>
    </row>
    <row r="526" ht="15.75" customHeight="1">
      <c r="D526" s="42"/>
      <c r="E526" s="42"/>
    </row>
    <row r="527" ht="15.75" customHeight="1">
      <c r="D527" s="42"/>
      <c r="E527" s="42"/>
    </row>
    <row r="528" ht="15.75" customHeight="1">
      <c r="D528" s="42"/>
      <c r="E528" s="42"/>
    </row>
    <row r="529" ht="15.75" customHeight="1">
      <c r="D529" s="42"/>
      <c r="E529" s="42"/>
    </row>
    <row r="530" ht="15.75" customHeight="1">
      <c r="D530" s="42"/>
      <c r="E530" s="42"/>
    </row>
    <row r="531" ht="15.75" customHeight="1">
      <c r="D531" s="42"/>
      <c r="E531" s="42"/>
    </row>
    <row r="532" ht="15.75" customHeight="1">
      <c r="D532" s="42"/>
      <c r="E532" s="42"/>
    </row>
    <row r="533" ht="15.75" customHeight="1">
      <c r="D533" s="42"/>
      <c r="E533" s="42"/>
    </row>
    <row r="534" ht="15.75" customHeight="1">
      <c r="D534" s="42"/>
      <c r="E534" s="42"/>
    </row>
    <row r="535" ht="15.75" customHeight="1">
      <c r="D535" s="42"/>
      <c r="E535" s="42"/>
    </row>
    <row r="536" ht="15.75" customHeight="1">
      <c r="D536" s="42"/>
      <c r="E536" s="42"/>
    </row>
    <row r="537" ht="15.75" customHeight="1">
      <c r="D537" s="42"/>
      <c r="E537" s="42"/>
    </row>
    <row r="538" ht="15.75" customHeight="1">
      <c r="D538" s="42"/>
      <c r="E538" s="42"/>
    </row>
    <row r="539" ht="15.75" customHeight="1">
      <c r="D539" s="42"/>
      <c r="E539" s="42"/>
    </row>
    <row r="540" ht="15.75" customHeight="1">
      <c r="D540" s="42"/>
      <c r="E540" s="42"/>
    </row>
    <row r="541" ht="15.75" customHeight="1">
      <c r="D541" s="42"/>
      <c r="E541" s="42"/>
    </row>
    <row r="542" ht="15.75" customHeight="1">
      <c r="D542" s="42"/>
      <c r="E542" s="42"/>
    </row>
    <row r="543" ht="15.75" customHeight="1">
      <c r="D543" s="42"/>
      <c r="E543" s="42"/>
    </row>
    <row r="544" ht="15.75" customHeight="1">
      <c r="D544" s="42"/>
      <c r="E544" s="42"/>
    </row>
    <row r="545" ht="15.75" customHeight="1">
      <c r="D545" s="42"/>
      <c r="E545" s="42"/>
    </row>
    <row r="546" ht="15.75" customHeight="1">
      <c r="D546" s="42"/>
      <c r="E546" s="42"/>
    </row>
    <row r="547" ht="15.75" customHeight="1">
      <c r="D547" s="42"/>
      <c r="E547" s="42"/>
    </row>
    <row r="548" ht="15.75" customHeight="1">
      <c r="D548" s="42"/>
      <c r="E548" s="42"/>
    </row>
    <row r="549" ht="15.75" customHeight="1">
      <c r="D549" s="42"/>
      <c r="E549" s="42"/>
    </row>
    <row r="550" ht="15.75" customHeight="1">
      <c r="D550" s="42"/>
      <c r="E550" s="42"/>
    </row>
    <row r="551" ht="15.75" customHeight="1">
      <c r="D551" s="42"/>
      <c r="E551" s="42"/>
    </row>
    <row r="552" ht="15.75" customHeight="1">
      <c r="D552" s="42"/>
      <c r="E552" s="42"/>
    </row>
    <row r="553" ht="15.75" customHeight="1">
      <c r="D553" s="42"/>
      <c r="E553" s="42"/>
    </row>
    <row r="554" ht="15.75" customHeight="1">
      <c r="D554" s="42"/>
      <c r="E554" s="42"/>
    </row>
    <row r="555" ht="15.75" customHeight="1">
      <c r="D555" s="42"/>
      <c r="E555" s="42"/>
    </row>
    <row r="556" ht="15.75" customHeight="1">
      <c r="D556" s="42"/>
      <c r="E556" s="42"/>
    </row>
    <row r="557" ht="15.75" customHeight="1">
      <c r="D557" s="42"/>
      <c r="E557" s="42"/>
    </row>
    <row r="558" ht="15.75" customHeight="1">
      <c r="D558" s="42"/>
      <c r="E558" s="42"/>
    </row>
    <row r="559" ht="15.75" customHeight="1">
      <c r="D559" s="42"/>
      <c r="E559" s="42"/>
    </row>
    <row r="560" ht="15.75" customHeight="1">
      <c r="D560" s="42"/>
      <c r="E560" s="42"/>
    </row>
    <row r="561" ht="15.75" customHeight="1">
      <c r="D561" s="42"/>
      <c r="E561" s="42"/>
    </row>
    <row r="562" ht="15.75" customHeight="1">
      <c r="D562" s="42"/>
      <c r="E562" s="42"/>
    </row>
    <row r="563" ht="15.75" customHeight="1">
      <c r="D563" s="42"/>
      <c r="E563" s="42"/>
    </row>
    <row r="564" ht="15.75" customHeight="1">
      <c r="D564" s="42"/>
      <c r="E564" s="42"/>
    </row>
    <row r="565" ht="15.75" customHeight="1">
      <c r="D565" s="42"/>
      <c r="E565" s="42"/>
    </row>
    <row r="566" ht="15.75" customHeight="1">
      <c r="D566" s="42"/>
      <c r="E566" s="42"/>
    </row>
    <row r="567" ht="15.75" customHeight="1">
      <c r="D567" s="42"/>
      <c r="E567" s="42"/>
    </row>
    <row r="568" ht="15.75" customHeight="1">
      <c r="D568" s="42"/>
      <c r="E568" s="42"/>
    </row>
    <row r="569" ht="15.75" customHeight="1">
      <c r="D569" s="42"/>
      <c r="E569" s="42"/>
    </row>
    <row r="570" ht="15.75" customHeight="1">
      <c r="D570" s="42"/>
      <c r="E570" s="42"/>
    </row>
    <row r="571" ht="15.75" customHeight="1">
      <c r="D571" s="42"/>
      <c r="E571" s="42"/>
    </row>
    <row r="572" ht="15.75" customHeight="1">
      <c r="D572" s="42"/>
      <c r="E572" s="42"/>
    </row>
    <row r="573" ht="15.75" customHeight="1">
      <c r="D573" s="42"/>
      <c r="E573" s="42"/>
    </row>
    <row r="574" ht="15.75" customHeight="1">
      <c r="D574" s="42"/>
      <c r="E574" s="42"/>
    </row>
    <row r="575" ht="15.75" customHeight="1">
      <c r="D575" s="42"/>
      <c r="E575" s="42"/>
    </row>
    <row r="576" ht="15.75" customHeight="1">
      <c r="D576" s="42"/>
      <c r="E576" s="42"/>
    </row>
    <row r="577" ht="15.75" customHeight="1">
      <c r="D577" s="42"/>
      <c r="E577" s="42"/>
    </row>
    <row r="578" ht="15.75" customHeight="1">
      <c r="D578" s="42"/>
      <c r="E578" s="42"/>
    </row>
    <row r="579" ht="15.75" customHeight="1">
      <c r="D579" s="42"/>
      <c r="E579" s="42"/>
    </row>
    <row r="580" ht="15.75" customHeight="1">
      <c r="D580" s="42"/>
      <c r="E580" s="42"/>
    </row>
    <row r="581" ht="15.75" customHeight="1">
      <c r="D581" s="42"/>
      <c r="E581" s="42"/>
    </row>
    <row r="582" ht="15.75" customHeight="1">
      <c r="D582" s="42"/>
      <c r="E582" s="42"/>
    </row>
    <row r="583" ht="15.75" customHeight="1">
      <c r="D583" s="42"/>
      <c r="E583" s="42"/>
    </row>
    <row r="584" ht="15.75" customHeight="1">
      <c r="D584" s="42"/>
      <c r="E584" s="42"/>
    </row>
    <row r="585" ht="15.75" customHeight="1">
      <c r="D585" s="42"/>
      <c r="E585" s="42"/>
    </row>
    <row r="586" ht="15.75" customHeight="1">
      <c r="D586" s="42"/>
      <c r="E586" s="42"/>
    </row>
    <row r="587" ht="15.75" customHeight="1">
      <c r="D587" s="42"/>
      <c r="E587" s="42"/>
    </row>
    <row r="588" ht="15.75" customHeight="1">
      <c r="D588" s="42"/>
      <c r="E588" s="42"/>
    </row>
    <row r="589" ht="15.75" customHeight="1">
      <c r="D589" s="42"/>
      <c r="E589" s="42"/>
    </row>
    <row r="590" ht="15.75" customHeight="1">
      <c r="D590" s="42"/>
      <c r="E590" s="42"/>
    </row>
    <row r="591" ht="15.75" customHeight="1">
      <c r="D591" s="42"/>
      <c r="E591" s="42"/>
    </row>
    <row r="592" ht="15.75" customHeight="1">
      <c r="D592" s="42"/>
      <c r="E592" s="42"/>
    </row>
    <row r="593" ht="15.75" customHeight="1">
      <c r="D593" s="42"/>
      <c r="E593" s="42"/>
    </row>
    <row r="594" ht="15.75" customHeight="1">
      <c r="D594" s="42"/>
      <c r="E594" s="42"/>
    </row>
    <row r="595" ht="15.75" customHeight="1">
      <c r="D595" s="42"/>
      <c r="E595" s="42"/>
    </row>
    <row r="596" ht="15.75" customHeight="1">
      <c r="D596" s="42"/>
      <c r="E596" s="42"/>
    </row>
    <row r="597" ht="15.75" customHeight="1">
      <c r="D597" s="42"/>
      <c r="E597" s="42"/>
    </row>
    <row r="598" ht="15.75" customHeight="1">
      <c r="D598" s="42"/>
      <c r="E598" s="42"/>
    </row>
    <row r="599" ht="15.75" customHeight="1">
      <c r="D599" s="42"/>
      <c r="E599" s="42"/>
    </row>
    <row r="600" ht="15.75" customHeight="1">
      <c r="D600" s="42"/>
      <c r="E600" s="42"/>
    </row>
    <row r="601" ht="15.75" customHeight="1">
      <c r="D601" s="42"/>
      <c r="E601" s="42"/>
    </row>
    <row r="602" ht="15.75" customHeight="1">
      <c r="D602" s="42"/>
      <c r="E602" s="42"/>
    </row>
    <row r="603" ht="15.75" customHeight="1">
      <c r="D603" s="42"/>
      <c r="E603" s="42"/>
    </row>
    <row r="604" ht="15.75" customHeight="1">
      <c r="D604" s="42"/>
      <c r="E604" s="42"/>
    </row>
    <row r="605" ht="15.75" customHeight="1">
      <c r="D605" s="42"/>
      <c r="E605" s="42"/>
    </row>
    <row r="606" ht="15.75" customHeight="1">
      <c r="D606" s="42"/>
      <c r="E606" s="42"/>
    </row>
    <row r="607" ht="15.75" customHeight="1">
      <c r="D607" s="42"/>
      <c r="E607" s="42"/>
    </row>
    <row r="608" ht="15.75" customHeight="1">
      <c r="D608" s="42"/>
      <c r="E608" s="42"/>
    </row>
    <row r="609" ht="15.75" customHeight="1">
      <c r="D609" s="42"/>
      <c r="E609" s="42"/>
    </row>
    <row r="610" ht="15.75" customHeight="1">
      <c r="D610" s="42"/>
      <c r="E610" s="42"/>
    </row>
    <row r="611" ht="15.75" customHeight="1">
      <c r="D611" s="42"/>
      <c r="E611" s="42"/>
    </row>
    <row r="612" ht="15.75" customHeight="1">
      <c r="D612" s="42"/>
      <c r="E612" s="42"/>
    </row>
    <row r="613" ht="15.75" customHeight="1">
      <c r="D613" s="42"/>
      <c r="E613" s="42"/>
    </row>
    <row r="614" ht="15.75" customHeight="1">
      <c r="D614" s="42"/>
      <c r="E614" s="42"/>
    </row>
    <row r="615" ht="15.75" customHeight="1">
      <c r="D615" s="42"/>
      <c r="E615" s="42"/>
    </row>
    <row r="616" ht="15.75" customHeight="1">
      <c r="D616" s="42"/>
      <c r="E616" s="42"/>
    </row>
    <row r="617" ht="15.75" customHeight="1">
      <c r="D617" s="42"/>
      <c r="E617" s="42"/>
    </row>
    <row r="618" ht="15.75" customHeight="1">
      <c r="D618" s="42"/>
      <c r="E618" s="42"/>
    </row>
    <row r="619" ht="15.75" customHeight="1">
      <c r="D619" s="42"/>
      <c r="E619" s="42"/>
    </row>
    <row r="620" ht="15.75" customHeight="1">
      <c r="D620" s="42"/>
      <c r="E620" s="42"/>
    </row>
    <row r="621" ht="15.75" customHeight="1">
      <c r="D621" s="42"/>
      <c r="E621" s="42"/>
    </row>
    <row r="622" ht="15.75" customHeight="1">
      <c r="D622" s="42"/>
      <c r="E622" s="42"/>
    </row>
    <row r="623" ht="15.75" customHeight="1">
      <c r="D623" s="42"/>
      <c r="E623" s="42"/>
    </row>
    <row r="624" ht="15.75" customHeight="1">
      <c r="D624" s="42"/>
      <c r="E624" s="42"/>
    </row>
    <row r="625" ht="15.75" customHeight="1">
      <c r="D625" s="42"/>
      <c r="E625" s="42"/>
    </row>
    <row r="626" ht="15.75" customHeight="1">
      <c r="D626" s="42"/>
      <c r="E626" s="42"/>
    </row>
    <row r="627" ht="15.75" customHeight="1">
      <c r="D627" s="42"/>
      <c r="E627" s="42"/>
    </row>
    <row r="628" ht="15.75" customHeight="1">
      <c r="D628" s="42"/>
      <c r="E628" s="42"/>
    </row>
    <row r="629" ht="15.75" customHeight="1">
      <c r="D629" s="42"/>
      <c r="E629" s="42"/>
    </row>
    <row r="630" ht="15.75" customHeight="1">
      <c r="D630" s="42"/>
      <c r="E630" s="42"/>
    </row>
    <row r="631" ht="15.75" customHeight="1">
      <c r="D631" s="42"/>
      <c r="E631" s="42"/>
    </row>
    <row r="632" ht="15.75" customHeight="1">
      <c r="D632" s="42"/>
      <c r="E632" s="42"/>
    </row>
    <row r="633" ht="15.75" customHeight="1">
      <c r="D633" s="42"/>
      <c r="E633" s="42"/>
    </row>
    <row r="634" ht="15.75" customHeight="1">
      <c r="D634" s="42"/>
      <c r="E634" s="42"/>
    </row>
    <row r="635" ht="15.75" customHeight="1">
      <c r="D635" s="42"/>
      <c r="E635" s="42"/>
    </row>
    <row r="636" ht="15.75" customHeight="1">
      <c r="D636" s="42"/>
      <c r="E636" s="42"/>
    </row>
    <row r="637" ht="15.75" customHeight="1">
      <c r="D637" s="42"/>
      <c r="E637" s="42"/>
    </row>
    <row r="638" ht="15.75" customHeight="1">
      <c r="D638" s="42"/>
      <c r="E638" s="42"/>
    </row>
    <row r="639" ht="15.75" customHeight="1">
      <c r="D639" s="42"/>
      <c r="E639" s="42"/>
    </row>
    <row r="640" ht="15.75" customHeight="1">
      <c r="D640" s="42"/>
      <c r="E640" s="42"/>
    </row>
    <row r="641" ht="15.75" customHeight="1">
      <c r="D641" s="42"/>
      <c r="E641" s="42"/>
    </row>
    <row r="642" ht="15.75" customHeight="1">
      <c r="D642" s="42"/>
      <c r="E642" s="42"/>
    </row>
    <row r="643" ht="15.75" customHeight="1">
      <c r="D643" s="42"/>
      <c r="E643" s="42"/>
    </row>
    <row r="644" ht="15.75" customHeight="1">
      <c r="D644" s="42"/>
      <c r="E644" s="42"/>
    </row>
    <row r="645" ht="15.75" customHeight="1">
      <c r="D645" s="42"/>
      <c r="E645" s="42"/>
    </row>
    <row r="646" ht="15.75" customHeight="1">
      <c r="D646" s="42"/>
      <c r="E646" s="42"/>
    </row>
    <row r="647" ht="15.75" customHeight="1">
      <c r="D647" s="42"/>
      <c r="E647" s="42"/>
    </row>
    <row r="648" ht="15.75" customHeight="1">
      <c r="D648" s="42"/>
      <c r="E648" s="42"/>
    </row>
    <row r="649" ht="15.75" customHeight="1">
      <c r="D649" s="42"/>
      <c r="E649" s="42"/>
    </row>
    <row r="650" ht="15.75" customHeight="1">
      <c r="D650" s="42"/>
      <c r="E650" s="42"/>
    </row>
    <row r="651" ht="15.75" customHeight="1">
      <c r="D651" s="42"/>
      <c r="E651" s="42"/>
    </row>
    <row r="652" ht="15.75" customHeight="1">
      <c r="D652" s="42"/>
      <c r="E652" s="42"/>
    </row>
    <row r="653" ht="15.75" customHeight="1">
      <c r="D653" s="42"/>
      <c r="E653" s="42"/>
    </row>
    <row r="654" ht="15.75" customHeight="1">
      <c r="D654" s="42"/>
      <c r="E654" s="42"/>
    </row>
    <row r="655" ht="15.75" customHeight="1">
      <c r="D655" s="42"/>
      <c r="E655" s="42"/>
    </row>
    <row r="656" ht="15.75" customHeight="1">
      <c r="D656" s="42"/>
      <c r="E656" s="42"/>
    </row>
    <row r="657" ht="15.75" customHeight="1">
      <c r="D657" s="42"/>
      <c r="E657" s="42"/>
    </row>
    <row r="658" ht="15.75" customHeight="1">
      <c r="D658" s="42"/>
      <c r="E658" s="42"/>
    </row>
    <row r="659" ht="15.75" customHeight="1">
      <c r="D659" s="42"/>
      <c r="E659" s="42"/>
    </row>
    <row r="660" ht="15.75" customHeight="1">
      <c r="D660" s="42"/>
      <c r="E660" s="42"/>
    </row>
    <row r="661" ht="15.75" customHeight="1">
      <c r="D661" s="42"/>
      <c r="E661" s="42"/>
    </row>
    <row r="662" ht="15.75" customHeight="1">
      <c r="D662" s="42"/>
      <c r="E662" s="42"/>
    </row>
    <row r="663" ht="15.75" customHeight="1">
      <c r="D663" s="42"/>
      <c r="E663" s="42"/>
    </row>
    <row r="664" ht="15.75" customHeight="1">
      <c r="D664" s="42"/>
      <c r="E664" s="42"/>
    </row>
    <row r="665" ht="15.75" customHeight="1">
      <c r="D665" s="42"/>
      <c r="E665" s="42"/>
    </row>
    <row r="666" ht="15.75" customHeight="1">
      <c r="D666" s="42"/>
      <c r="E666" s="42"/>
    </row>
    <row r="667" ht="15.75" customHeight="1">
      <c r="D667" s="42"/>
      <c r="E667" s="42"/>
    </row>
    <row r="668" ht="15.75" customHeight="1">
      <c r="D668" s="42"/>
      <c r="E668" s="42"/>
    </row>
    <row r="669" ht="15.75" customHeight="1">
      <c r="D669" s="42"/>
      <c r="E669" s="42"/>
    </row>
    <row r="670" ht="15.75" customHeight="1">
      <c r="D670" s="42"/>
      <c r="E670" s="42"/>
    </row>
    <row r="671" ht="15.75" customHeight="1">
      <c r="D671" s="42"/>
      <c r="E671" s="42"/>
    </row>
    <row r="672" ht="15.75" customHeight="1">
      <c r="D672" s="42"/>
      <c r="E672" s="42"/>
    </row>
    <row r="673" ht="15.75" customHeight="1">
      <c r="D673" s="42"/>
      <c r="E673" s="42"/>
    </row>
    <row r="674" ht="15.75" customHeight="1">
      <c r="D674" s="42"/>
      <c r="E674" s="42"/>
    </row>
    <row r="675" ht="15.75" customHeight="1">
      <c r="D675" s="42"/>
      <c r="E675" s="42"/>
    </row>
    <row r="676" ht="15.75" customHeight="1">
      <c r="D676" s="42"/>
      <c r="E676" s="42"/>
    </row>
    <row r="677" ht="15.75" customHeight="1">
      <c r="D677" s="42"/>
      <c r="E677" s="42"/>
    </row>
    <row r="678" ht="15.75" customHeight="1">
      <c r="D678" s="42"/>
      <c r="E678" s="42"/>
    </row>
    <row r="679" ht="15.75" customHeight="1">
      <c r="D679" s="42"/>
      <c r="E679" s="42"/>
    </row>
    <row r="680" ht="15.75" customHeight="1">
      <c r="D680" s="42"/>
      <c r="E680" s="42"/>
    </row>
    <row r="681" ht="15.75" customHeight="1">
      <c r="D681" s="42"/>
      <c r="E681" s="42"/>
    </row>
    <row r="682" ht="15.75" customHeight="1">
      <c r="D682" s="42"/>
      <c r="E682" s="42"/>
    </row>
    <row r="683" ht="15.75" customHeight="1">
      <c r="D683" s="42"/>
      <c r="E683" s="42"/>
    </row>
    <row r="684" ht="15.75" customHeight="1">
      <c r="D684" s="42"/>
      <c r="E684" s="42"/>
    </row>
    <row r="685" ht="15.75" customHeight="1">
      <c r="D685" s="42"/>
      <c r="E685" s="42"/>
    </row>
    <row r="686" ht="15.75" customHeight="1">
      <c r="D686" s="42"/>
      <c r="E686" s="42"/>
    </row>
    <row r="687" ht="15.75" customHeight="1">
      <c r="D687" s="42"/>
      <c r="E687" s="42"/>
    </row>
    <row r="688" ht="15.75" customHeight="1">
      <c r="D688" s="42"/>
      <c r="E688" s="42"/>
    </row>
    <row r="689" ht="15.75" customHeight="1">
      <c r="D689" s="42"/>
      <c r="E689" s="42"/>
    </row>
    <row r="690" ht="15.75" customHeight="1">
      <c r="D690" s="42"/>
      <c r="E690" s="42"/>
    </row>
    <row r="691" ht="15.75" customHeight="1">
      <c r="D691" s="42"/>
      <c r="E691" s="42"/>
    </row>
    <row r="692" ht="15.75" customHeight="1">
      <c r="D692" s="42"/>
      <c r="E692" s="42"/>
    </row>
    <row r="693" ht="15.75" customHeight="1">
      <c r="D693" s="42"/>
      <c r="E693" s="42"/>
    </row>
    <row r="694" ht="15.75" customHeight="1">
      <c r="D694" s="42"/>
      <c r="E694" s="42"/>
    </row>
    <row r="695" ht="15.75" customHeight="1">
      <c r="D695" s="42"/>
      <c r="E695" s="42"/>
    </row>
    <row r="696" ht="15.75" customHeight="1">
      <c r="D696" s="42"/>
      <c r="E696" s="42"/>
    </row>
    <row r="697" ht="15.75" customHeight="1">
      <c r="D697" s="42"/>
      <c r="E697" s="42"/>
    </row>
    <row r="698" ht="15.75" customHeight="1">
      <c r="D698" s="42"/>
      <c r="E698" s="42"/>
    </row>
    <row r="699" ht="15.75" customHeight="1">
      <c r="D699" s="42"/>
      <c r="E699" s="42"/>
    </row>
    <row r="700" ht="15.75" customHeight="1">
      <c r="D700" s="42"/>
      <c r="E700" s="42"/>
    </row>
    <row r="701" ht="15.75" customHeight="1">
      <c r="D701" s="42"/>
      <c r="E701" s="42"/>
    </row>
    <row r="702" ht="15.75" customHeight="1">
      <c r="D702" s="42"/>
      <c r="E702" s="42"/>
    </row>
    <row r="703" ht="15.75" customHeight="1">
      <c r="D703" s="42"/>
      <c r="E703" s="42"/>
    </row>
    <row r="704" ht="15.75" customHeight="1">
      <c r="D704" s="42"/>
      <c r="E704" s="42"/>
    </row>
    <row r="705" ht="15.75" customHeight="1">
      <c r="D705" s="42"/>
      <c r="E705" s="42"/>
    </row>
    <row r="706" ht="15.75" customHeight="1">
      <c r="D706" s="42"/>
      <c r="E706" s="42"/>
    </row>
    <row r="707" ht="15.75" customHeight="1">
      <c r="D707" s="42"/>
      <c r="E707" s="42"/>
    </row>
    <row r="708" ht="15.75" customHeight="1">
      <c r="D708" s="42"/>
      <c r="E708" s="42"/>
    </row>
    <row r="709" ht="15.75" customHeight="1">
      <c r="D709" s="42"/>
      <c r="E709" s="42"/>
    </row>
    <row r="710" ht="15.75" customHeight="1">
      <c r="D710" s="42"/>
      <c r="E710" s="42"/>
    </row>
    <row r="711" ht="15.75" customHeight="1">
      <c r="D711" s="42"/>
      <c r="E711" s="42"/>
    </row>
    <row r="712" ht="15.75" customHeight="1">
      <c r="D712" s="42"/>
      <c r="E712" s="42"/>
    </row>
    <row r="713" ht="15.75" customHeight="1">
      <c r="D713" s="42"/>
      <c r="E713" s="42"/>
    </row>
    <row r="714" ht="15.75" customHeight="1">
      <c r="D714" s="42"/>
      <c r="E714" s="42"/>
    </row>
    <row r="715" ht="15.75" customHeight="1">
      <c r="D715" s="42"/>
      <c r="E715" s="42"/>
    </row>
    <row r="716" ht="15.75" customHeight="1">
      <c r="D716" s="42"/>
      <c r="E716" s="42"/>
    </row>
    <row r="717" ht="15.75" customHeight="1">
      <c r="D717" s="42"/>
      <c r="E717" s="42"/>
    </row>
    <row r="718" ht="15.75" customHeight="1">
      <c r="D718" s="42"/>
      <c r="E718" s="42"/>
    </row>
    <row r="719" ht="15.75" customHeight="1">
      <c r="D719" s="42"/>
      <c r="E719" s="42"/>
    </row>
    <row r="720" ht="15.75" customHeight="1">
      <c r="D720" s="42"/>
      <c r="E720" s="42"/>
    </row>
    <row r="721" ht="15.75" customHeight="1">
      <c r="D721" s="42"/>
      <c r="E721" s="42"/>
    </row>
    <row r="722" ht="15.75" customHeight="1">
      <c r="D722" s="42"/>
      <c r="E722" s="42"/>
    </row>
    <row r="723" ht="15.75" customHeight="1">
      <c r="D723" s="42"/>
      <c r="E723" s="42"/>
    </row>
    <row r="724" ht="15.75" customHeight="1">
      <c r="D724" s="42"/>
      <c r="E724" s="42"/>
    </row>
    <row r="725" ht="15.75" customHeight="1">
      <c r="D725" s="42"/>
      <c r="E725" s="42"/>
    </row>
    <row r="726" ht="15.75" customHeight="1">
      <c r="D726" s="42"/>
      <c r="E726" s="42"/>
    </row>
    <row r="727" ht="15.75" customHeight="1">
      <c r="D727" s="42"/>
      <c r="E727" s="42"/>
    </row>
    <row r="728" ht="15.75" customHeight="1">
      <c r="D728" s="42"/>
      <c r="E728" s="42"/>
    </row>
    <row r="729" ht="15.75" customHeight="1">
      <c r="D729" s="42"/>
      <c r="E729" s="42"/>
    </row>
    <row r="730" ht="15.75" customHeight="1">
      <c r="D730" s="42"/>
      <c r="E730" s="42"/>
    </row>
    <row r="731" ht="15.75" customHeight="1">
      <c r="D731" s="42"/>
      <c r="E731" s="42"/>
    </row>
    <row r="732" ht="15.75" customHeight="1">
      <c r="D732" s="42"/>
      <c r="E732" s="42"/>
    </row>
    <row r="733" ht="15.75" customHeight="1">
      <c r="D733" s="42"/>
      <c r="E733" s="42"/>
    </row>
    <row r="734" ht="15.75" customHeight="1">
      <c r="D734" s="42"/>
      <c r="E734" s="42"/>
    </row>
    <row r="735" ht="15.75" customHeight="1">
      <c r="D735" s="42"/>
      <c r="E735" s="42"/>
    </row>
    <row r="736" ht="15.75" customHeight="1">
      <c r="D736" s="42"/>
      <c r="E736" s="42"/>
    </row>
    <row r="737" ht="15.75" customHeight="1">
      <c r="D737" s="42"/>
      <c r="E737" s="42"/>
    </row>
    <row r="738" ht="15.75" customHeight="1">
      <c r="D738" s="42"/>
      <c r="E738" s="42"/>
    </row>
    <row r="739" ht="15.75" customHeight="1">
      <c r="D739" s="42"/>
      <c r="E739" s="42"/>
    </row>
    <row r="740" ht="15.75" customHeight="1">
      <c r="D740" s="42"/>
      <c r="E740" s="42"/>
    </row>
    <row r="741" ht="15.75" customHeight="1">
      <c r="D741" s="42"/>
      <c r="E741" s="42"/>
    </row>
    <row r="742" ht="15.75" customHeight="1">
      <c r="D742" s="42"/>
      <c r="E742" s="42"/>
    </row>
    <row r="743" ht="15.75" customHeight="1">
      <c r="D743" s="42"/>
      <c r="E743" s="42"/>
    </row>
    <row r="744" ht="15.75" customHeight="1">
      <c r="D744" s="42"/>
      <c r="E744" s="42"/>
    </row>
    <row r="745" ht="15.75" customHeight="1">
      <c r="D745" s="42"/>
      <c r="E745" s="42"/>
    </row>
    <row r="746" ht="15.75" customHeight="1">
      <c r="D746" s="42"/>
      <c r="E746" s="42"/>
    </row>
    <row r="747" ht="15.75" customHeight="1">
      <c r="D747" s="42"/>
      <c r="E747" s="42"/>
    </row>
    <row r="748" ht="15.75" customHeight="1">
      <c r="D748" s="42"/>
      <c r="E748" s="42"/>
    </row>
    <row r="749" ht="15.75" customHeight="1">
      <c r="D749" s="42"/>
      <c r="E749" s="42"/>
    </row>
    <row r="750" ht="15.75" customHeight="1">
      <c r="D750" s="42"/>
      <c r="E750" s="42"/>
    </row>
    <row r="751" ht="15.75" customHeight="1">
      <c r="D751" s="42"/>
      <c r="E751" s="42"/>
    </row>
    <row r="752" ht="15.75" customHeight="1">
      <c r="D752" s="42"/>
      <c r="E752" s="42"/>
    </row>
    <row r="753" ht="15.75" customHeight="1">
      <c r="D753" s="42"/>
      <c r="E753" s="42"/>
    </row>
    <row r="754" ht="15.75" customHeight="1">
      <c r="D754" s="42"/>
      <c r="E754" s="42"/>
    </row>
    <row r="755" ht="15.75" customHeight="1">
      <c r="D755" s="42"/>
      <c r="E755" s="42"/>
    </row>
    <row r="756" ht="15.75" customHeight="1">
      <c r="D756" s="42"/>
      <c r="E756" s="42"/>
    </row>
    <row r="757" ht="15.75" customHeight="1">
      <c r="D757" s="42"/>
      <c r="E757" s="42"/>
    </row>
    <row r="758" ht="15.75" customHeight="1">
      <c r="D758" s="42"/>
      <c r="E758" s="42"/>
    </row>
    <row r="759" ht="15.75" customHeight="1">
      <c r="D759" s="42"/>
      <c r="E759" s="42"/>
    </row>
    <row r="760" ht="15.75" customHeight="1">
      <c r="D760" s="42"/>
      <c r="E760" s="42"/>
    </row>
    <row r="761" ht="15.75" customHeight="1">
      <c r="D761" s="42"/>
      <c r="E761" s="42"/>
    </row>
    <row r="762" ht="15.75" customHeight="1">
      <c r="D762" s="42"/>
      <c r="E762" s="42"/>
    </row>
    <row r="763" ht="15.75" customHeight="1">
      <c r="D763" s="42"/>
      <c r="E763" s="42"/>
    </row>
    <row r="764" ht="15.75" customHeight="1">
      <c r="D764" s="42"/>
      <c r="E764" s="42"/>
    </row>
    <row r="765" ht="15.75" customHeight="1">
      <c r="D765" s="42"/>
      <c r="E765" s="42"/>
    </row>
    <row r="766" ht="15.75" customHeight="1">
      <c r="D766" s="42"/>
      <c r="E766" s="42"/>
    </row>
    <row r="767" ht="15.75" customHeight="1">
      <c r="D767" s="42"/>
      <c r="E767" s="42"/>
    </row>
    <row r="768" ht="15.75" customHeight="1">
      <c r="D768" s="42"/>
      <c r="E768" s="42"/>
    </row>
    <row r="769" ht="15.75" customHeight="1">
      <c r="D769" s="42"/>
      <c r="E769" s="42"/>
    </row>
    <row r="770" ht="15.75" customHeight="1">
      <c r="D770" s="42"/>
      <c r="E770" s="42"/>
    </row>
    <row r="771" ht="15.75" customHeight="1">
      <c r="D771" s="42"/>
      <c r="E771" s="42"/>
    </row>
    <row r="772" ht="15.75" customHeight="1">
      <c r="D772" s="42"/>
      <c r="E772" s="42"/>
    </row>
    <row r="773" ht="15.75" customHeight="1">
      <c r="D773" s="42"/>
      <c r="E773" s="42"/>
    </row>
    <row r="774" ht="15.75" customHeight="1">
      <c r="D774" s="42"/>
      <c r="E774" s="42"/>
    </row>
    <row r="775" ht="15.75" customHeight="1">
      <c r="D775" s="42"/>
      <c r="E775" s="42"/>
    </row>
    <row r="776" ht="15.75" customHeight="1">
      <c r="D776" s="42"/>
      <c r="E776" s="42"/>
    </row>
    <row r="777" ht="15.75" customHeight="1">
      <c r="D777" s="42"/>
      <c r="E777" s="42"/>
    </row>
    <row r="778" ht="15.75" customHeight="1">
      <c r="D778" s="42"/>
      <c r="E778" s="42"/>
    </row>
    <row r="779" ht="15.75" customHeight="1">
      <c r="D779" s="42"/>
      <c r="E779" s="42"/>
    </row>
    <row r="780" ht="15.75" customHeight="1">
      <c r="D780" s="42"/>
      <c r="E780" s="42"/>
    </row>
    <row r="781" ht="15.75" customHeight="1">
      <c r="D781" s="42"/>
      <c r="E781" s="42"/>
    </row>
    <row r="782" ht="15.75" customHeight="1">
      <c r="D782" s="42"/>
      <c r="E782" s="42"/>
    </row>
    <row r="783" ht="15.75" customHeight="1">
      <c r="D783" s="42"/>
      <c r="E783" s="42"/>
    </row>
    <row r="784" ht="15.75" customHeight="1">
      <c r="D784" s="42"/>
      <c r="E784" s="42"/>
    </row>
    <row r="785" ht="15.75" customHeight="1">
      <c r="D785" s="42"/>
      <c r="E785" s="42"/>
    </row>
    <row r="786" ht="15.75" customHeight="1">
      <c r="D786" s="42"/>
      <c r="E786" s="42"/>
    </row>
    <row r="787" ht="15.75" customHeight="1">
      <c r="D787" s="42"/>
      <c r="E787" s="42"/>
    </row>
    <row r="788" ht="15.75" customHeight="1">
      <c r="D788" s="42"/>
      <c r="E788" s="42"/>
    </row>
    <row r="789" ht="15.75" customHeight="1">
      <c r="D789" s="42"/>
      <c r="E789" s="42"/>
    </row>
    <row r="790" ht="15.75" customHeight="1">
      <c r="D790" s="42"/>
      <c r="E790" s="42"/>
    </row>
    <row r="791" ht="15.75" customHeight="1">
      <c r="D791" s="42"/>
      <c r="E791" s="42"/>
    </row>
    <row r="792" ht="15.75" customHeight="1">
      <c r="D792" s="42"/>
      <c r="E792" s="42"/>
    </row>
    <row r="793" ht="15.75" customHeight="1">
      <c r="D793" s="42"/>
      <c r="E793" s="42"/>
    </row>
    <row r="794" ht="15.75" customHeight="1">
      <c r="D794" s="42"/>
      <c r="E794" s="42"/>
    </row>
    <row r="795" ht="15.75" customHeight="1">
      <c r="D795" s="42"/>
      <c r="E795" s="42"/>
    </row>
    <row r="796" ht="15.75" customHeight="1">
      <c r="D796" s="42"/>
      <c r="E796" s="42"/>
    </row>
    <row r="797" ht="15.75" customHeight="1">
      <c r="D797" s="42"/>
      <c r="E797" s="42"/>
    </row>
    <row r="798" ht="15.75" customHeight="1">
      <c r="D798" s="42"/>
      <c r="E798" s="42"/>
    </row>
    <row r="799" ht="15.75" customHeight="1">
      <c r="D799" s="42"/>
      <c r="E799" s="42"/>
    </row>
    <row r="800" ht="15.75" customHeight="1">
      <c r="D800" s="42"/>
      <c r="E800" s="42"/>
    </row>
    <row r="801" ht="15.75" customHeight="1">
      <c r="D801" s="42"/>
      <c r="E801" s="42"/>
    </row>
    <row r="802" ht="15.75" customHeight="1">
      <c r="D802" s="42"/>
      <c r="E802" s="42"/>
    </row>
    <row r="803" ht="15.75" customHeight="1">
      <c r="D803" s="42"/>
      <c r="E803" s="42"/>
    </row>
    <row r="804" ht="15.75" customHeight="1">
      <c r="D804" s="42"/>
      <c r="E804" s="42"/>
    </row>
    <row r="805" ht="15.75" customHeight="1">
      <c r="D805" s="42"/>
      <c r="E805" s="42"/>
    </row>
    <row r="806" ht="15.75" customHeight="1">
      <c r="D806" s="42"/>
      <c r="E806" s="42"/>
    </row>
    <row r="807" ht="15.75" customHeight="1">
      <c r="D807" s="42"/>
      <c r="E807" s="42"/>
    </row>
    <row r="808" ht="15.75" customHeight="1">
      <c r="D808" s="42"/>
      <c r="E808" s="42"/>
    </row>
    <row r="809" ht="15.75" customHeight="1">
      <c r="D809" s="42"/>
      <c r="E809" s="42"/>
    </row>
    <row r="810" ht="15.75" customHeight="1">
      <c r="D810" s="42"/>
      <c r="E810" s="42"/>
    </row>
    <row r="811" ht="15.75" customHeight="1">
      <c r="D811" s="42"/>
      <c r="E811" s="42"/>
    </row>
    <row r="812" ht="15.75" customHeight="1">
      <c r="D812" s="42"/>
      <c r="E812" s="42"/>
    </row>
    <row r="813" ht="15.75" customHeight="1">
      <c r="D813" s="42"/>
      <c r="E813" s="42"/>
    </row>
    <row r="814" ht="15.75" customHeight="1">
      <c r="D814" s="42"/>
      <c r="E814" s="42"/>
    </row>
    <row r="815" ht="15.75" customHeight="1">
      <c r="D815" s="42"/>
      <c r="E815" s="42"/>
    </row>
    <row r="816" ht="15.75" customHeight="1">
      <c r="D816" s="42"/>
      <c r="E816" s="42"/>
    </row>
    <row r="817" ht="15.75" customHeight="1">
      <c r="D817" s="42"/>
      <c r="E817" s="42"/>
    </row>
    <row r="818" ht="15.75" customHeight="1">
      <c r="D818" s="42"/>
      <c r="E818" s="42"/>
    </row>
    <row r="819" ht="15.75" customHeight="1">
      <c r="D819" s="42"/>
      <c r="E819" s="42"/>
    </row>
    <row r="820" ht="15.75" customHeight="1">
      <c r="D820" s="42"/>
      <c r="E820" s="42"/>
    </row>
    <row r="821" ht="15.75" customHeight="1">
      <c r="D821" s="42"/>
      <c r="E821" s="42"/>
    </row>
    <row r="822" ht="15.75" customHeight="1">
      <c r="D822" s="42"/>
      <c r="E822" s="42"/>
    </row>
    <row r="823" ht="15.75" customHeight="1">
      <c r="D823" s="42"/>
      <c r="E823" s="42"/>
    </row>
    <row r="824" ht="15.75" customHeight="1">
      <c r="D824" s="42"/>
      <c r="E824" s="42"/>
    </row>
    <row r="825" ht="15.75" customHeight="1">
      <c r="D825" s="42"/>
      <c r="E825" s="42"/>
    </row>
    <row r="826" ht="15.75" customHeight="1">
      <c r="D826" s="42"/>
      <c r="E826" s="42"/>
    </row>
    <row r="827" ht="15.75" customHeight="1">
      <c r="D827" s="42"/>
      <c r="E827" s="42"/>
    </row>
    <row r="828" ht="15.75" customHeight="1">
      <c r="D828" s="42"/>
      <c r="E828" s="42"/>
    </row>
    <row r="829" ht="15.75" customHeight="1">
      <c r="D829" s="42"/>
      <c r="E829" s="42"/>
    </row>
    <row r="830" ht="15.75" customHeight="1">
      <c r="D830" s="42"/>
      <c r="E830" s="42"/>
    </row>
    <row r="831" ht="15.75" customHeight="1">
      <c r="D831" s="42"/>
      <c r="E831" s="42"/>
    </row>
    <row r="832" ht="15.75" customHeight="1">
      <c r="D832" s="42"/>
      <c r="E832" s="42"/>
    </row>
    <row r="833" ht="15.75" customHeight="1">
      <c r="D833" s="42"/>
      <c r="E833" s="42"/>
    </row>
    <row r="834" ht="15.75" customHeight="1">
      <c r="D834" s="42"/>
      <c r="E834" s="42"/>
    </row>
    <row r="835" ht="15.75" customHeight="1">
      <c r="D835" s="42"/>
      <c r="E835" s="42"/>
    </row>
    <row r="836" ht="15.75" customHeight="1">
      <c r="D836" s="42"/>
      <c r="E836" s="42"/>
    </row>
    <row r="837" ht="15.75" customHeight="1">
      <c r="D837" s="42"/>
      <c r="E837" s="42"/>
    </row>
    <row r="838" ht="15.75" customHeight="1">
      <c r="D838" s="42"/>
      <c r="E838" s="42"/>
    </row>
    <row r="839" ht="15.75" customHeight="1">
      <c r="D839" s="42"/>
      <c r="E839" s="42"/>
    </row>
    <row r="840" ht="15.75" customHeight="1">
      <c r="D840" s="42"/>
      <c r="E840" s="42"/>
    </row>
    <row r="841" ht="15.75" customHeight="1">
      <c r="D841" s="42"/>
      <c r="E841" s="42"/>
    </row>
    <row r="842" ht="15.75" customHeight="1">
      <c r="D842" s="42"/>
      <c r="E842" s="42"/>
    </row>
    <row r="843" ht="15.75" customHeight="1">
      <c r="D843" s="42"/>
      <c r="E843" s="42"/>
    </row>
    <row r="844" ht="15.75" customHeight="1">
      <c r="D844" s="42"/>
      <c r="E844" s="42"/>
    </row>
    <row r="845" ht="15.75" customHeight="1">
      <c r="D845" s="42"/>
      <c r="E845" s="42"/>
    </row>
    <row r="846" ht="15.75" customHeight="1">
      <c r="D846" s="42"/>
      <c r="E846" s="42"/>
    </row>
    <row r="847" ht="15.75" customHeight="1">
      <c r="D847" s="42"/>
      <c r="E847" s="42"/>
    </row>
    <row r="848" ht="15.75" customHeight="1">
      <c r="D848" s="42"/>
      <c r="E848" s="42"/>
    </row>
    <row r="849" ht="15.75" customHeight="1">
      <c r="D849" s="42"/>
      <c r="E849" s="42"/>
    </row>
    <row r="850" ht="15.75" customHeight="1">
      <c r="D850" s="42"/>
      <c r="E850" s="42"/>
    </row>
    <row r="851" ht="15.75" customHeight="1">
      <c r="D851" s="42"/>
      <c r="E851" s="42"/>
    </row>
    <row r="852" ht="15.75" customHeight="1">
      <c r="D852" s="42"/>
      <c r="E852" s="42"/>
    </row>
    <row r="853" ht="15.75" customHeight="1">
      <c r="D853" s="42"/>
      <c r="E853" s="42"/>
    </row>
    <row r="854" ht="15.75" customHeight="1">
      <c r="D854" s="42"/>
      <c r="E854" s="42"/>
    </row>
    <row r="855" ht="15.75" customHeight="1">
      <c r="D855" s="42"/>
      <c r="E855" s="42"/>
    </row>
    <row r="856" ht="15.75" customHeight="1">
      <c r="D856" s="42"/>
      <c r="E856" s="42"/>
    </row>
    <row r="857" ht="15.75" customHeight="1">
      <c r="D857" s="42"/>
      <c r="E857" s="42"/>
    </row>
    <row r="858" ht="15.75" customHeight="1">
      <c r="D858" s="42"/>
      <c r="E858" s="42"/>
    </row>
    <row r="859" ht="15.75" customHeight="1">
      <c r="D859" s="42"/>
      <c r="E859" s="42"/>
    </row>
    <row r="860" ht="15.75" customHeight="1">
      <c r="D860" s="42"/>
      <c r="E860" s="42"/>
    </row>
    <row r="861" ht="15.75" customHeight="1">
      <c r="D861" s="42"/>
      <c r="E861" s="42"/>
    </row>
    <row r="862" ht="15.75" customHeight="1">
      <c r="D862" s="42"/>
      <c r="E862" s="42"/>
    </row>
    <row r="863" ht="15.75" customHeight="1">
      <c r="D863" s="42"/>
      <c r="E863" s="42"/>
    </row>
    <row r="864" ht="15.75" customHeight="1">
      <c r="D864" s="42"/>
      <c r="E864" s="42"/>
    </row>
    <row r="865" ht="15.75" customHeight="1">
      <c r="D865" s="42"/>
      <c r="E865" s="42"/>
    </row>
    <row r="866" ht="15.75" customHeight="1">
      <c r="D866" s="42"/>
      <c r="E866" s="42"/>
    </row>
    <row r="867" ht="15.75" customHeight="1">
      <c r="D867" s="42"/>
      <c r="E867" s="42"/>
    </row>
    <row r="868" ht="15.75" customHeight="1">
      <c r="D868" s="42"/>
      <c r="E868" s="42"/>
    </row>
    <row r="869" ht="15.75" customHeight="1">
      <c r="D869" s="42"/>
      <c r="E869" s="42"/>
    </row>
    <row r="870" ht="15.75" customHeight="1">
      <c r="D870" s="42"/>
      <c r="E870" s="42"/>
    </row>
    <row r="871" ht="15.75" customHeight="1">
      <c r="D871" s="42"/>
      <c r="E871" s="42"/>
    </row>
    <row r="872" ht="15.75" customHeight="1">
      <c r="D872" s="42"/>
      <c r="E872" s="42"/>
    </row>
    <row r="873" ht="15.75" customHeight="1">
      <c r="D873" s="42"/>
      <c r="E873" s="42"/>
    </row>
    <row r="874" ht="15.75" customHeight="1">
      <c r="D874" s="42"/>
      <c r="E874" s="42"/>
    </row>
    <row r="875" ht="15.75" customHeight="1">
      <c r="D875" s="42"/>
      <c r="E875" s="42"/>
    </row>
    <row r="876" ht="15.75" customHeight="1">
      <c r="D876" s="42"/>
      <c r="E876" s="42"/>
    </row>
    <row r="877" ht="15.75" customHeight="1">
      <c r="D877" s="42"/>
      <c r="E877" s="42"/>
    </row>
    <row r="878" ht="15.75" customHeight="1">
      <c r="D878" s="42"/>
      <c r="E878" s="42"/>
    </row>
    <row r="879" ht="15.75" customHeight="1">
      <c r="D879" s="42"/>
      <c r="E879" s="42"/>
    </row>
    <row r="880" ht="15.75" customHeight="1">
      <c r="D880" s="42"/>
      <c r="E880" s="42"/>
    </row>
    <row r="881" ht="15.75" customHeight="1">
      <c r="D881" s="42"/>
      <c r="E881" s="42"/>
    </row>
    <row r="882" ht="15.75" customHeight="1">
      <c r="D882" s="42"/>
      <c r="E882" s="42"/>
    </row>
    <row r="883" ht="15.75" customHeight="1">
      <c r="D883" s="42"/>
      <c r="E883" s="42"/>
    </row>
    <row r="884" ht="15.75" customHeight="1">
      <c r="D884" s="42"/>
      <c r="E884" s="42"/>
    </row>
    <row r="885" ht="15.75" customHeight="1">
      <c r="D885" s="42"/>
      <c r="E885" s="42"/>
    </row>
    <row r="886" ht="15.75" customHeight="1">
      <c r="D886" s="42"/>
      <c r="E886" s="42"/>
    </row>
    <row r="887" ht="15.75" customHeight="1">
      <c r="D887" s="42"/>
      <c r="E887" s="42"/>
    </row>
    <row r="888" ht="15.75" customHeight="1">
      <c r="D888" s="42"/>
      <c r="E888" s="42"/>
    </row>
    <row r="889" ht="15.75" customHeight="1">
      <c r="D889" s="42"/>
      <c r="E889" s="42"/>
    </row>
    <row r="890" ht="15.75" customHeight="1">
      <c r="D890" s="42"/>
      <c r="E890" s="42"/>
    </row>
    <row r="891" ht="15.75" customHeight="1">
      <c r="D891" s="42"/>
      <c r="E891" s="42"/>
    </row>
    <row r="892" ht="15.75" customHeight="1">
      <c r="D892" s="42"/>
      <c r="E892" s="42"/>
    </row>
    <row r="893" ht="15.75" customHeight="1">
      <c r="D893" s="42"/>
      <c r="E893" s="42"/>
    </row>
    <row r="894" ht="15.75" customHeight="1">
      <c r="D894" s="42"/>
      <c r="E894" s="42"/>
    </row>
    <row r="895" ht="15.75" customHeight="1">
      <c r="D895" s="42"/>
      <c r="E895" s="42"/>
    </row>
    <row r="896" ht="15.75" customHeight="1">
      <c r="D896" s="42"/>
      <c r="E896" s="42"/>
    </row>
    <row r="897" ht="15.75" customHeight="1">
      <c r="D897" s="42"/>
      <c r="E897" s="42"/>
    </row>
    <row r="898" ht="15.75" customHeight="1">
      <c r="D898" s="42"/>
      <c r="E898" s="42"/>
    </row>
    <row r="899" ht="15.75" customHeight="1">
      <c r="D899" s="42"/>
      <c r="E899" s="42"/>
    </row>
    <row r="900" ht="15.75" customHeight="1">
      <c r="D900" s="42"/>
      <c r="E900" s="42"/>
    </row>
    <row r="901" ht="15.75" customHeight="1">
      <c r="D901" s="42"/>
      <c r="E901" s="42"/>
    </row>
    <row r="902" ht="15.75" customHeight="1">
      <c r="D902" s="42"/>
      <c r="E902" s="42"/>
    </row>
    <row r="903" ht="15.75" customHeight="1">
      <c r="D903" s="42"/>
      <c r="E903" s="42"/>
    </row>
    <row r="904" ht="15.75" customHeight="1">
      <c r="D904" s="42"/>
      <c r="E904" s="42"/>
    </row>
    <row r="905" ht="15.75" customHeight="1">
      <c r="D905" s="42"/>
      <c r="E905" s="42"/>
    </row>
    <row r="906" ht="15.75" customHeight="1">
      <c r="D906" s="42"/>
      <c r="E906" s="42"/>
    </row>
    <row r="907" ht="15.75" customHeight="1">
      <c r="D907" s="42"/>
      <c r="E907" s="42"/>
    </row>
    <row r="908" ht="15.75" customHeight="1">
      <c r="D908" s="42"/>
      <c r="E908" s="42"/>
    </row>
    <row r="909" ht="15.75" customHeight="1">
      <c r="D909" s="42"/>
      <c r="E909" s="42"/>
    </row>
    <row r="910" ht="15.75" customHeight="1">
      <c r="D910" s="42"/>
      <c r="E910" s="42"/>
    </row>
    <row r="911" ht="15.75" customHeight="1">
      <c r="D911" s="42"/>
      <c r="E911" s="42"/>
    </row>
    <row r="912" ht="15.75" customHeight="1">
      <c r="D912" s="42"/>
      <c r="E912" s="42"/>
    </row>
    <row r="913" ht="15.75" customHeight="1">
      <c r="D913" s="42"/>
      <c r="E913" s="42"/>
    </row>
    <row r="914" ht="15.75" customHeight="1">
      <c r="D914" s="42"/>
      <c r="E914" s="42"/>
    </row>
    <row r="915" ht="15.75" customHeight="1">
      <c r="D915" s="42"/>
      <c r="E915" s="42"/>
    </row>
    <row r="916" ht="15.75" customHeight="1">
      <c r="D916" s="42"/>
      <c r="E916" s="42"/>
    </row>
    <row r="917" ht="15.75" customHeight="1">
      <c r="D917" s="42"/>
      <c r="E917" s="42"/>
    </row>
    <row r="918" ht="15.75" customHeight="1">
      <c r="D918" s="42"/>
      <c r="E918" s="42"/>
    </row>
    <row r="919" ht="15.75" customHeight="1">
      <c r="D919" s="42"/>
      <c r="E919" s="42"/>
    </row>
    <row r="920" ht="15.75" customHeight="1">
      <c r="D920" s="42"/>
      <c r="E920" s="42"/>
    </row>
    <row r="921" ht="15.75" customHeight="1">
      <c r="D921" s="42"/>
      <c r="E921" s="42"/>
    </row>
    <row r="922" ht="15.75" customHeight="1">
      <c r="D922" s="42"/>
      <c r="E922" s="42"/>
    </row>
    <row r="923" ht="15.75" customHeight="1">
      <c r="D923" s="42"/>
      <c r="E923" s="42"/>
    </row>
    <row r="924" ht="15.75" customHeight="1">
      <c r="D924" s="42"/>
      <c r="E924" s="42"/>
    </row>
    <row r="925" ht="15.75" customHeight="1">
      <c r="D925" s="42"/>
      <c r="E925" s="42"/>
    </row>
    <row r="926" ht="15.75" customHeight="1">
      <c r="D926" s="42"/>
      <c r="E926" s="42"/>
    </row>
    <row r="927" ht="15.75" customHeight="1">
      <c r="D927" s="42"/>
      <c r="E927" s="42"/>
    </row>
    <row r="928" ht="15.75" customHeight="1">
      <c r="D928" s="42"/>
      <c r="E928" s="42"/>
    </row>
    <row r="929" ht="15.75" customHeight="1">
      <c r="D929" s="42"/>
      <c r="E929" s="42"/>
    </row>
    <row r="930" ht="15.75" customHeight="1">
      <c r="D930" s="42"/>
      <c r="E930" s="42"/>
    </row>
    <row r="931" ht="15.75" customHeight="1">
      <c r="D931" s="42"/>
      <c r="E931" s="42"/>
    </row>
    <row r="932" ht="15.75" customHeight="1">
      <c r="D932" s="42"/>
      <c r="E932" s="42"/>
    </row>
    <row r="933" ht="15.75" customHeight="1">
      <c r="D933" s="42"/>
      <c r="E933" s="42"/>
    </row>
    <row r="934" ht="15.75" customHeight="1">
      <c r="D934" s="42"/>
      <c r="E934" s="42"/>
    </row>
    <row r="935" ht="15.75" customHeight="1">
      <c r="D935" s="42"/>
      <c r="E935" s="42"/>
    </row>
    <row r="936" ht="15.75" customHeight="1">
      <c r="D936" s="42"/>
      <c r="E936" s="42"/>
    </row>
    <row r="937" ht="15.75" customHeight="1">
      <c r="D937" s="42"/>
      <c r="E937" s="42"/>
    </row>
    <row r="938" ht="15.75" customHeight="1">
      <c r="D938" s="42"/>
      <c r="E938" s="42"/>
    </row>
    <row r="939" ht="15.75" customHeight="1">
      <c r="D939" s="42"/>
      <c r="E939" s="42"/>
    </row>
    <row r="940" ht="15.75" customHeight="1">
      <c r="D940" s="42"/>
      <c r="E940" s="42"/>
    </row>
    <row r="941" ht="15.75" customHeight="1">
      <c r="D941" s="42"/>
      <c r="E941" s="42"/>
    </row>
    <row r="942" ht="15.75" customHeight="1">
      <c r="D942" s="42"/>
      <c r="E942" s="42"/>
    </row>
    <row r="943" ht="15.75" customHeight="1">
      <c r="D943" s="42"/>
      <c r="E943" s="42"/>
    </row>
    <row r="944" ht="15.75" customHeight="1">
      <c r="D944" s="42"/>
      <c r="E944" s="42"/>
    </row>
    <row r="945" ht="15.75" customHeight="1">
      <c r="D945" s="42"/>
      <c r="E945" s="42"/>
    </row>
    <row r="946" ht="15.75" customHeight="1">
      <c r="D946" s="42"/>
      <c r="E946" s="42"/>
    </row>
    <row r="947" ht="15.75" customHeight="1">
      <c r="D947" s="42"/>
      <c r="E947" s="42"/>
    </row>
    <row r="948" ht="15.75" customHeight="1">
      <c r="D948" s="42"/>
      <c r="E948" s="42"/>
    </row>
    <row r="949" ht="15.75" customHeight="1">
      <c r="D949" s="42"/>
      <c r="E949" s="42"/>
    </row>
    <row r="950" ht="15.75" customHeight="1">
      <c r="D950" s="42"/>
      <c r="E950" s="42"/>
    </row>
    <row r="951" ht="15.75" customHeight="1">
      <c r="D951" s="42"/>
      <c r="E951" s="42"/>
    </row>
    <row r="952" ht="15.75" customHeight="1">
      <c r="D952" s="42"/>
      <c r="E952" s="42"/>
    </row>
    <row r="953" ht="15.75" customHeight="1">
      <c r="D953" s="42"/>
      <c r="E953" s="42"/>
    </row>
    <row r="954" ht="15.75" customHeight="1">
      <c r="D954" s="42"/>
      <c r="E954" s="42"/>
    </row>
    <row r="955" ht="15.75" customHeight="1">
      <c r="D955" s="42"/>
      <c r="E955" s="42"/>
    </row>
    <row r="956" ht="15.75" customHeight="1">
      <c r="D956" s="42"/>
      <c r="E956" s="42"/>
    </row>
    <row r="957" ht="15.75" customHeight="1">
      <c r="D957" s="42"/>
      <c r="E957" s="42"/>
    </row>
    <row r="958" ht="15.75" customHeight="1">
      <c r="D958" s="42"/>
      <c r="E958" s="42"/>
    </row>
    <row r="959" ht="15.75" customHeight="1">
      <c r="D959" s="42"/>
      <c r="E959" s="42"/>
    </row>
    <row r="960" ht="15.75" customHeight="1">
      <c r="D960" s="42"/>
      <c r="E960" s="42"/>
    </row>
    <row r="961" ht="15.75" customHeight="1">
      <c r="D961" s="42"/>
      <c r="E961" s="42"/>
    </row>
    <row r="962" ht="15.75" customHeight="1">
      <c r="D962" s="42"/>
      <c r="E962" s="42"/>
    </row>
    <row r="963" ht="15.75" customHeight="1">
      <c r="D963" s="42"/>
      <c r="E963" s="42"/>
    </row>
    <row r="964" ht="15.75" customHeight="1">
      <c r="D964" s="42"/>
      <c r="E964" s="42"/>
    </row>
    <row r="965" ht="15.75" customHeight="1">
      <c r="D965" s="42"/>
      <c r="E965" s="42"/>
    </row>
    <row r="966" ht="15.75" customHeight="1">
      <c r="D966" s="42"/>
      <c r="E966" s="42"/>
    </row>
    <row r="967" ht="15.75" customHeight="1">
      <c r="D967" s="42"/>
      <c r="E967" s="42"/>
    </row>
    <row r="968" ht="15.75" customHeight="1">
      <c r="D968" s="42"/>
      <c r="E968" s="42"/>
    </row>
    <row r="969" ht="15.75" customHeight="1">
      <c r="D969" s="42"/>
      <c r="E969" s="42"/>
    </row>
    <row r="970" ht="15.75" customHeight="1">
      <c r="D970" s="42"/>
      <c r="E970" s="42"/>
    </row>
    <row r="971" ht="15.75" customHeight="1">
      <c r="D971" s="42"/>
      <c r="E971" s="42"/>
    </row>
    <row r="972" ht="15.75" customHeight="1">
      <c r="D972" s="42"/>
      <c r="E972" s="42"/>
    </row>
    <row r="973" ht="15.75" customHeight="1">
      <c r="D973" s="42"/>
      <c r="E973" s="42"/>
    </row>
    <row r="974" ht="15.75" customHeight="1">
      <c r="D974" s="42"/>
      <c r="E974" s="42"/>
    </row>
    <row r="975" ht="15.75" customHeight="1">
      <c r="D975" s="42"/>
      <c r="E975" s="42"/>
    </row>
    <row r="976" ht="15.75" customHeight="1">
      <c r="D976" s="42"/>
      <c r="E976" s="42"/>
    </row>
    <row r="977" ht="15.75" customHeight="1">
      <c r="D977" s="42"/>
      <c r="E977" s="42"/>
    </row>
    <row r="978" ht="15.75" customHeight="1">
      <c r="D978" s="42"/>
      <c r="E978" s="42"/>
    </row>
    <row r="979" ht="15.75" customHeight="1">
      <c r="D979" s="42"/>
      <c r="E979" s="42"/>
    </row>
    <row r="980" ht="15.75" customHeight="1">
      <c r="D980" s="42"/>
      <c r="E980" s="42"/>
    </row>
    <row r="981" ht="15.75" customHeight="1">
      <c r="D981" s="42"/>
      <c r="E981" s="42"/>
    </row>
    <row r="982" ht="15.75" customHeight="1">
      <c r="D982" s="42"/>
      <c r="E982" s="42"/>
    </row>
    <row r="983" ht="15.75" customHeight="1">
      <c r="D983" s="42"/>
      <c r="E983" s="42"/>
    </row>
    <row r="984" ht="15.75" customHeight="1">
      <c r="D984" s="42"/>
      <c r="E984" s="42"/>
    </row>
    <row r="985" ht="15.75" customHeight="1">
      <c r="D985" s="42"/>
      <c r="E985" s="42"/>
    </row>
    <row r="986" ht="15.75" customHeight="1">
      <c r="D986" s="42"/>
      <c r="E986" s="42"/>
    </row>
    <row r="987" ht="15.75" customHeight="1">
      <c r="D987" s="42"/>
      <c r="E987" s="42"/>
    </row>
    <row r="988" ht="15.75" customHeight="1">
      <c r="D988" s="42"/>
      <c r="E988" s="42"/>
    </row>
    <row r="989" ht="15.75" customHeight="1">
      <c r="D989" s="42"/>
      <c r="E989" s="42"/>
    </row>
    <row r="990" ht="15.75" customHeight="1">
      <c r="D990" s="42"/>
      <c r="E990" s="42"/>
    </row>
    <row r="991" ht="15.75" customHeight="1">
      <c r="D991" s="42"/>
      <c r="E991" s="42"/>
    </row>
    <row r="992" ht="15.75" customHeight="1">
      <c r="D992" s="42"/>
      <c r="E992" s="42"/>
    </row>
    <row r="993" ht="15.75" customHeight="1">
      <c r="D993" s="42"/>
      <c r="E993" s="42"/>
    </row>
    <row r="994" ht="15.75" customHeight="1">
      <c r="D994" s="42"/>
      <c r="E994" s="42"/>
    </row>
    <row r="995" ht="15.75" customHeight="1">
      <c r="D995" s="42"/>
      <c r="E995" s="42"/>
    </row>
    <row r="996" ht="15.75" customHeight="1">
      <c r="D996" s="42"/>
      <c r="E996" s="42"/>
    </row>
    <row r="997" ht="15.75" customHeight="1">
      <c r="D997" s="42"/>
      <c r="E997" s="42"/>
    </row>
    <row r="998" ht="15.75" customHeight="1">
      <c r="D998" s="42"/>
      <c r="E998" s="42"/>
    </row>
    <row r="999" ht="15.75" customHeight="1">
      <c r="D999" s="42"/>
      <c r="E999" s="42"/>
    </row>
    <row r="1000" ht="15.75" customHeight="1">
      <c r="D1000" s="42"/>
      <c r="E1000" s="42"/>
    </row>
  </sheetData>
  <mergeCells count="12">
    <mergeCell ref="O6:R6"/>
    <mergeCell ref="S6:V6"/>
    <mergeCell ref="A23:C23"/>
    <mergeCell ref="A24:C24"/>
    <mergeCell ref="A1:AA2"/>
    <mergeCell ref="A3:AA4"/>
    <mergeCell ref="A5:AA5"/>
    <mergeCell ref="A6:A7"/>
    <mergeCell ref="E6:E7"/>
    <mergeCell ref="F6:I6"/>
    <mergeCell ref="J6:N6"/>
    <mergeCell ref="W6:AA6"/>
  </mergeCells>
  <printOptions/>
  <pageMargins bottom="0.2" footer="0.0" header="0.0" left="0.2" right="0.2" top="0.2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2.57"/>
    <col customWidth="1" min="3" max="3" width="9.86"/>
    <col customWidth="1" min="4" max="4" width="11.43"/>
    <col customWidth="1" min="5" max="5" width="13.86"/>
    <col customWidth="1" min="6" max="6" width="14.43"/>
    <col customWidth="1" hidden="1" min="7" max="7" width="12.29"/>
    <col customWidth="1" min="8" max="8" width="9.86"/>
    <col customWidth="1" min="9" max="9" width="9.0"/>
    <col customWidth="1" min="10" max="10" width="12.29"/>
    <col customWidth="1" hidden="1" min="11" max="11" width="11.0"/>
    <col customWidth="1" min="12" max="12" width="15.57"/>
    <col customWidth="1" hidden="1" min="13" max="13" width="10.71"/>
    <col customWidth="1" min="14" max="14" width="10.29"/>
    <col customWidth="1" min="15" max="15" width="13.43"/>
    <col customWidth="1" hidden="1" min="16" max="16" width="14.29"/>
    <col customWidth="1" min="17" max="17" width="10.29"/>
    <col customWidth="1" min="18" max="18" width="8.71"/>
    <col customWidth="1" min="19" max="19" width="13.29"/>
    <col customWidth="1" hidden="1" min="20" max="20" width="13.43"/>
    <col customWidth="1" min="21" max="22" width="9.57"/>
    <col customWidth="1" min="23" max="23" width="19.71"/>
    <col customWidth="1" hidden="1" min="24" max="24" width="2.29"/>
    <col customWidth="1" min="25" max="25" width="15.86"/>
    <col customWidth="1" min="26" max="26" width="9.86"/>
    <col customWidth="1" min="27" max="27" width="11.57"/>
  </cols>
  <sheetData>
    <row r="1">
      <c r="A1" s="1" t="s">
        <v>0</v>
      </c>
    </row>
    <row r="3">
      <c r="A3" s="2" t="s">
        <v>48</v>
      </c>
    </row>
    <row r="5">
      <c r="A5" s="3" t="s">
        <v>53</v>
      </c>
    </row>
    <row r="6">
      <c r="A6" s="4" t="s">
        <v>3</v>
      </c>
      <c r="B6" s="5" t="s">
        <v>4</v>
      </c>
      <c r="C6" s="5" t="s">
        <v>5</v>
      </c>
      <c r="D6" s="5" t="s">
        <v>6</v>
      </c>
      <c r="E6" s="4" t="s">
        <v>7</v>
      </c>
      <c r="F6" s="6" t="s">
        <v>8</v>
      </c>
      <c r="G6" s="7"/>
      <c r="H6" s="7"/>
      <c r="I6" s="8"/>
      <c r="J6" s="6" t="s">
        <v>9</v>
      </c>
      <c r="K6" s="7"/>
      <c r="L6" s="7"/>
      <c r="M6" s="7"/>
      <c r="N6" s="8"/>
      <c r="O6" s="6" t="s">
        <v>10</v>
      </c>
      <c r="P6" s="7"/>
      <c r="Q6" s="7"/>
      <c r="R6" s="8"/>
      <c r="S6" s="6" t="s">
        <v>11</v>
      </c>
      <c r="T6" s="7"/>
      <c r="U6" s="7"/>
      <c r="V6" s="8"/>
      <c r="W6" s="6" t="s">
        <v>12</v>
      </c>
      <c r="X6" s="7"/>
      <c r="Y6" s="7"/>
      <c r="Z6" s="8"/>
    </row>
    <row r="7">
      <c r="A7" s="9"/>
      <c r="B7" s="10"/>
      <c r="C7" s="10"/>
      <c r="D7" s="10"/>
      <c r="E7" s="11"/>
      <c r="F7" s="12" t="s">
        <v>13</v>
      </c>
      <c r="G7" s="12"/>
      <c r="H7" s="12" t="s">
        <v>14</v>
      </c>
      <c r="I7" s="12" t="s">
        <v>15</v>
      </c>
      <c r="J7" s="12" t="s">
        <v>13</v>
      </c>
      <c r="K7" s="12"/>
      <c r="L7" s="12" t="s">
        <v>14</v>
      </c>
      <c r="M7" s="12"/>
      <c r="N7" s="12" t="s">
        <v>15</v>
      </c>
      <c r="O7" s="12" t="s">
        <v>13</v>
      </c>
      <c r="P7" s="12"/>
      <c r="Q7" s="12" t="s">
        <v>14</v>
      </c>
      <c r="R7" s="12" t="s">
        <v>15</v>
      </c>
      <c r="S7" s="12" t="s">
        <v>13</v>
      </c>
      <c r="T7" s="12"/>
      <c r="U7" s="12" t="s">
        <v>14</v>
      </c>
      <c r="V7" s="12" t="s">
        <v>15</v>
      </c>
      <c r="W7" s="12" t="s">
        <v>13</v>
      </c>
      <c r="X7" s="12"/>
      <c r="Y7" s="12" t="s">
        <v>14</v>
      </c>
      <c r="Z7" s="12" t="s">
        <v>15</v>
      </c>
    </row>
    <row r="8">
      <c r="A8" s="13">
        <v>1.0</v>
      </c>
      <c r="B8" s="14" t="s">
        <v>16</v>
      </c>
      <c r="C8" s="13" t="s">
        <v>17</v>
      </c>
      <c r="D8" s="13">
        <v>70.79</v>
      </c>
      <c r="E8" s="15">
        <v>500.0</v>
      </c>
      <c r="F8" s="16">
        <f t="shared" ref="F8:F22" si="1">W8/26*7</f>
        <v>695.6923077</v>
      </c>
      <c r="G8" s="17">
        <f t="shared" ref="G8:G23" si="2">F8*D8</f>
        <v>49248.05846</v>
      </c>
      <c r="H8" s="18"/>
      <c r="I8" s="19"/>
      <c r="J8" s="19">
        <v>695.6923076923077</v>
      </c>
      <c r="K8" s="19">
        <f t="shared" ref="K8:K22" si="3">J8*D8</f>
        <v>49248.05846</v>
      </c>
      <c r="L8" s="19">
        <v>10.0</v>
      </c>
      <c r="M8" s="76">
        <f t="shared" ref="M8:M22" si="4">L8*D8</f>
        <v>707.9</v>
      </c>
      <c r="N8" s="24">
        <f t="shared" ref="N8:N24" si="5">L8/J8</f>
        <v>0.01437417072</v>
      </c>
      <c r="O8" s="18">
        <v>695.6923076923077</v>
      </c>
      <c r="P8" s="22">
        <f t="shared" ref="P8:P23" si="6">O8*D8</f>
        <v>49248.05846</v>
      </c>
      <c r="Q8" s="18"/>
      <c r="R8" s="18"/>
      <c r="S8" s="18">
        <v>695.6923076923077</v>
      </c>
      <c r="T8" s="18">
        <f t="shared" ref="T8:T22" si="7">S8*D8</f>
        <v>49248.05846</v>
      </c>
      <c r="U8" s="18"/>
      <c r="V8" s="66"/>
      <c r="W8" s="16">
        <f>ZEESHAN!W8+SAQIB!W8</f>
        <v>2584</v>
      </c>
      <c r="X8" s="23">
        <f t="shared" ref="X8:X23" si="8">W8*D8</f>
        <v>182921.36</v>
      </c>
      <c r="Y8" s="18">
        <v>120.0</v>
      </c>
      <c r="Z8" s="24">
        <f t="shared" ref="Z8:Z24" si="9">Y8/W8</f>
        <v>0.04643962848</v>
      </c>
      <c r="AA8" s="25"/>
    </row>
    <row r="9">
      <c r="A9" s="26">
        <v>2.0</v>
      </c>
      <c r="B9" s="27" t="s">
        <v>18</v>
      </c>
      <c r="C9" s="26" t="s">
        <v>17</v>
      </c>
      <c r="D9" s="26">
        <v>89.37</v>
      </c>
      <c r="E9" s="28">
        <v>500.0</v>
      </c>
      <c r="F9" s="29">
        <f t="shared" si="1"/>
        <v>695.6923077</v>
      </c>
      <c r="G9" s="23">
        <f t="shared" si="2"/>
        <v>62174.02154</v>
      </c>
      <c r="H9" s="30"/>
      <c r="I9" s="31"/>
      <c r="J9" s="31">
        <v>695.6923076923077</v>
      </c>
      <c r="K9" s="19">
        <f t="shared" si="3"/>
        <v>62174.02154</v>
      </c>
      <c r="L9" s="31">
        <v>50.0</v>
      </c>
      <c r="M9" s="76">
        <f t="shared" si="4"/>
        <v>4468.5</v>
      </c>
      <c r="N9" s="24">
        <f t="shared" si="5"/>
        <v>0.0718708536</v>
      </c>
      <c r="O9" s="30">
        <v>695.6923076923077</v>
      </c>
      <c r="P9" s="22">
        <f t="shared" si="6"/>
        <v>62174.02154</v>
      </c>
      <c r="Q9" s="30"/>
      <c r="R9" s="30"/>
      <c r="S9" s="30">
        <v>695.6923076923077</v>
      </c>
      <c r="T9" s="18">
        <f t="shared" si="7"/>
        <v>62174.02154</v>
      </c>
      <c r="U9" s="30"/>
      <c r="V9" s="67"/>
      <c r="W9" s="29">
        <f>ZEESHAN!W9+SAQIB!W9</f>
        <v>2584</v>
      </c>
      <c r="X9" s="23">
        <f t="shared" si="8"/>
        <v>230932.08</v>
      </c>
      <c r="Y9" s="18">
        <v>40.0</v>
      </c>
      <c r="Z9" s="24">
        <f t="shared" si="9"/>
        <v>0.01547987616</v>
      </c>
      <c r="AA9" s="25"/>
    </row>
    <row r="10">
      <c r="A10" s="26">
        <v>3.0</v>
      </c>
      <c r="B10" s="27" t="s">
        <v>19</v>
      </c>
      <c r="C10" s="26" t="s">
        <v>17</v>
      </c>
      <c r="D10" s="26">
        <v>112.5</v>
      </c>
      <c r="E10" s="28">
        <v>800.0</v>
      </c>
      <c r="F10" s="29">
        <f t="shared" si="1"/>
        <v>1113</v>
      </c>
      <c r="G10" s="23">
        <f t="shared" si="2"/>
        <v>125212.5</v>
      </c>
      <c r="H10" s="30"/>
      <c r="I10" s="31"/>
      <c r="J10" s="29">
        <v>1113.0</v>
      </c>
      <c r="K10" s="19">
        <f t="shared" si="3"/>
        <v>125212.5</v>
      </c>
      <c r="L10" s="31">
        <v>1205.0</v>
      </c>
      <c r="M10" s="76">
        <f t="shared" si="4"/>
        <v>135562.5</v>
      </c>
      <c r="N10" s="24">
        <f t="shared" si="5"/>
        <v>1.082659479</v>
      </c>
      <c r="O10" s="30">
        <v>1113.0</v>
      </c>
      <c r="P10" s="22">
        <f t="shared" si="6"/>
        <v>125212.5</v>
      </c>
      <c r="Q10" s="30"/>
      <c r="R10" s="30"/>
      <c r="S10" s="30">
        <v>1113.0</v>
      </c>
      <c r="T10" s="18">
        <f t="shared" si="7"/>
        <v>125212.5</v>
      </c>
      <c r="U10" s="30"/>
      <c r="V10" s="67"/>
      <c r="W10" s="29">
        <f>ZEESHAN!W10+SAQIB!W10</f>
        <v>4134</v>
      </c>
      <c r="X10" s="23">
        <f t="shared" si="8"/>
        <v>465075</v>
      </c>
      <c r="Y10" s="18">
        <v>2338.0</v>
      </c>
      <c r="Z10" s="24">
        <f t="shared" si="9"/>
        <v>0.5655539429</v>
      </c>
      <c r="AA10" s="25"/>
    </row>
    <row r="11">
      <c r="A11" s="26">
        <v>4.0</v>
      </c>
      <c r="B11" s="27" t="s">
        <v>20</v>
      </c>
      <c r="C11" s="26" t="s">
        <v>21</v>
      </c>
      <c r="D11" s="26">
        <v>55.23</v>
      </c>
      <c r="E11" s="28">
        <v>200.0</v>
      </c>
      <c r="F11" s="29">
        <f t="shared" si="1"/>
        <v>278.3846154</v>
      </c>
      <c r="G11" s="23">
        <f t="shared" si="2"/>
        <v>15375.18231</v>
      </c>
      <c r="H11" s="30"/>
      <c r="I11" s="31"/>
      <c r="J11" s="31">
        <v>278.38461538461536</v>
      </c>
      <c r="K11" s="19">
        <f t="shared" si="3"/>
        <v>15375.18231</v>
      </c>
      <c r="L11" s="31">
        <v>0.0</v>
      </c>
      <c r="M11" s="76">
        <f t="shared" si="4"/>
        <v>0</v>
      </c>
      <c r="N11" s="24">
        <f t="shared" si="5"/>
        <v>0</v>
      </c>
      <c r="O11" s="30">
        <v>278.38461538461536</v>
      </c>
      <c r="P11" s="22">
        <f t="shared" si="6"/>
        <v>15375.18231</v>
      </c>
      <c r="Q11" s="30"/>
      <c r="R11" s="30"/>
      <c r="S11" s="30">
        <v>278.38461538461536</v>
      </c>
      <c r="T11" s="18">
        <f t="shared" si="7"/>
        <v>15375.18231</v>
      </c>
      <c r="U11" s="30"/>
      <c r="V11" s="67"/>
      <c r="W11" s="29">
        <f>ZEESHAN!W11+SAQIB!W11</f>
        <v>1034</v>
      </c>
      <c r="X11" s="23">
        <f t="shared" si="8"/>
        <v>57107.82</v>
      </c>
      <c r="Y11" s="18">
        <v>0.0</v>
      </c>
      <c r="Z11" s="24">
        <f t="shared" si="9"/>
        <v>0</v>
      </c>
      <c r="AA11" s="25"/>
    </row>
    <row r="12">
      <c r="A12" s="26">
        <v>5.0</v>
      </c>
      <c r="B12" s="27" t="s">
        <v>22</v>
      </c>
      <c r="C12" s="26" t="s">
        <v>23</v>
      </c>
      <c r="D12" s="26">
        <v>192.63</v>
      </c>
      <c r="E12" s="28">
        <v>192.0</v>
      </c>
      <c r="F12" s="29">
        <f t="shared" si="1"/>
        <v>267.0769231</v>
      </c>
      <c r="G12" s="23">
        <f t="shared" si="2"/>
        <v>51447.02769</v>
      </c>
      <c r="H12" s="30"/>
      <c r="I12" s="31"/>
      <c r="J12" s="31">
        <v>267.0769230769231</v>
      </c>
      <c r="K12" s="19">
        <f t="shared" si="3"/>
        <v>51447.02769</v>
      </c>
      <c r="L12" s="31">
        <v>9.0</v>
      </c>
      <c r="M12" s="76">
        <f t="shared" si="4"/>
        <v>1733.67</v>
      </c>
      <c r="N12" s="24">
        <f t="shared" si="5"/>
        <v>0.03369815668</v>
      </c>
      <c r="O12" s="30">
        <v>267.0769230769231</v>
      </c>
      <c r="P12" s="22">
        <f t="shared" si="6"/>
        <v>51447.02769</v>
      </c>
      <c r="Q12" s="30"/>
      <c r="R12" s="30"/>
      <c r="S12" s="30">
        <v>267.0769230769231</v>
      </c>
      <c r="T12" s="18">
        <f t="shared" si="7"/>
        <v>51447.02769</v>
      </c>
      <c r="U12" s="30"/>
      <c r="V12" s="67"/>
      <c r="W12" s="29">
        <f>ZEESHAN!W12+SAQIB!W12</f>
        <v>992</v>
      </c>
      <c r="X12" s="23">
        <f t="shared" si="8"/>
        <v>191088.96</v>
      </c>
      <c r="Y12" s="18">
        <v>19.0</v>
      </c>
      <c r="Z12" s="24">
        <f t="shared" si="9"/>
        <v>0.01915322581</v>
      </c>
      <c r="AA12" s="25"/>
    </row>
    <row r="13">
      <c r="A13" s="26">
        <v>6.0</v>
      </c>
      <c r="B13" s="27" t="s">
        <v>24</v>
      </c>
      <c r="C13" s="26" t="s">
        <v>23</v>
      </c>
      <c r="D13" s="26">
        <v>195.0</v>
      </c>
      <c r="E13" s="28">
        <v>30.0</v>
      </c>
      <c r="F13" s="29">
        <f t="shared" si="1"/>
        <v>42</v>
      </c>
      <c r="G13" s="23">
        <f t="shared" si="2"/>
        <v>8190</v>
      </c>
      <c r="H13" s="30"/>
      <c r="I13" s="31"/>
      <c r="J13" s="31">
        <v>42.0</v>
      </c>
      <c r="K13" s="19">
        <f t="shared" si="3"/>
        <v>8190</v>
      </c>
      <c r="L13" s="31">
        <v>0.0</v>
      </c>
      <c r="M13" s="76">
        <f t="shared" si="4"/>
        <v>0</v>
      </c>
      <c r="N13" s="24">
        <f t="shared" si="5"/>
        <v>0</v>
      </c>
      <c r="O13" s="30">
        <v>42.0</v>
      </c>
      <c r="P13" s="22">
        <f t="shared" si="6"/>
        <v>8190</v>
      </c>
      <c r="Q13" s="30"/>
      <c r="R13" s="30"/>
      <c r="S13" s="30">
        <v>42.0</v>
      </c>
      <c r="T13" s="18">
        <f t="shared" si="7"/>
        <v>8190</v>
      </c>
      <c r="U13" s="30"/>
      <c r="V13" s="67"/>
      <c r="W13" s="29">
        <f>ZEESHAN!W13+SAQIB!W13</f>
        <v>156</v>
      </c>
      <c r="X13" s="23">
        <f t="shared" si="8"/>
        <v>30420</v>
      </c>
      <c r="Y13" s="18">
        <v>0.0</v>
      </c>
      <c r="Z13" s="24">
        <f t="shared" si="9"/>
        <v>0</v>
      </c>
      <c r="AA13" s="25"/>
    </row>
    <row r="14">
      <c r="A14" s="26">
        <v>7.0</v>
      </c>
      <c r="B14" s="27" t="s">
        <v>25</v>
      </c>
      <c r="C14" s="26" t="s">
        <v>23</v>
      </c>
      <c r="D14" s="26">
        <v>648.52</v>
      </c>
      <c r="E14" s="28">
        <v>30.0</v>
      </c>
      <c r="F14" s="29">
        <f t="shared" si="1"/>
        <v>42</v>
      </c>
      <c r="G14" s="23">
        <f t="shared" si="2"/>
        <v>27237.84</v>
      </c>
      <c r="H14" s="30"/>
      <c r="I14" s="31"/>
      <c r="J14" s="31">
        <v>42.0</v>
      </c>
      <c r="K14" s="19">
        <f t="shared" si="3"/>
        <v>27237.84</v>
      </c>
      <c r="L14" s="31">
        <v>10.0</v>
      </c>
      <c r="M14" s="76">
        <f t="shared" si="4"/>
        <v>6485.2</v>
      </c>
      <c r="N14" s="24">
        <f t="shared" si="5"/>
        <v>0.2380952381</v>
      </c>
      <c r="O14" s="30">
        <v>42.0</v>
      </c>
      <c r="P14" s="22">
        <f t="shared" si="6"/>
        <v>27237.84</v>
      </c>
      <c r="Q14" s="30"/>
      <c r="R14" s="30"/>
      <c r="S14" s="30">
        <v>42.0</v>
      </c>
      <c r="T14" s="18">
        <f t="shared" si="7"/>
        <v>27237.84</v>
      </c>
      <c r="U14" s="30"/>
      <c r="V14" s="67"/>
      <c r="W14" s="29">
        <f>ZEESHAN!W14+SAQIB!W14</f>
        <v>156</v>
      </c>
      <c r="X14" s="23">
        <f t="shared" si="8"/>
        <v>101169.12</v>
      </c>
      <c r="Y14" s="18">
        <v>0.0</v>
      </c>
      <c r="Z14" s="24">
        <f t="shared" si="9"/>
        <v>0</v>
      </c>
      <c r="AA14" s="25"/>
    </row>
    <row r="15">
      <c r="A15" s="26">
        <v>8.0</v>
      </c>
      <c r="B15" s="27" t="s">
        <v>26</v>
      </c>
      <c r="C15" s="26" t="s">
        <v>21</v>
      </c>
      <c r="D15" s="26">
        <v>51.0</v>
      </c>
      <c r="E15" s="28">
        <v>300.0</v>
      </c>
      <c r="F15" s="29">
        <f t="shared" si="1"/>
        <v>417.3076923</v>
      </c>
      <c r="G15" s="23">
        <f t="shared" si="2"/>
        <v>21282.69231</v>
      </c>
      <c r="H15" s="30"/>
      <c r="I15" s="31"/>
      <c r="J15" s="31">
        <v>417.30769230769226</v>
      </c>
      <c r="K15" s="19">
        <f t="shared" si="3"/>
        <v>21282.69231</v>
      </c>
      <c r="L15" s="31">
        <v>35.0</v>
      </c>
      <c r="M15" s="76">
        <f t="shared" si="4"/>
        <v>1785</v>
      </c>
      <c r="N15" s="24">
        <f t="shared" si="5"/>
        <v>0.08387096774</v>
      </c>
      <c r="O15" s="30">
        <v>417.30769230769226</v>
      </c>
      <c r="P15" s="22">
        <f t="shared" si="6"/>
        <v>21282.69231</v>
      </c>
      <c r="Q15" s="30"/>
      <c r="R15" s="30"/>
      <c r="S15" s="30">
        <v>417.30769230769226</v>
      </c>
      <c r="T15" s="18">
        <f t="shared" si="7"/>
        <v>21282.69231</v>
      </c>
      <c r="U15" s="30"/>
      <c r="V15" s="67"/>
      <c r="W15" s="29">
        <f>ZEESHAN!W15+SAQIB!W15</f>
        <v>1550</v>
      </c>
      <c r="X15" s="23">
        <f t="shared" si="8"/>
        <v>79050</v>
      </c>
      <c r="Y15" s="18">
        <v>195.0</v>
      </c>
      <c r="Z15" s="24">
        <f t="shared" si="9"/>
        <v>0.1258064516</v>
      </c>
      <c r="AA15" s="25"/>
    </row>
    <row r="16">
      <c r="A16" s="26">
        <v>9.0</v>
      </c>
      <c r="B16" s="27" t="s">
        <v>27</v>
      </c>
      <c r="C16" s="26" t="s">
        <v>28</v>
      </c>
      <c r="D16" s="26">
        <v>189.25</v>
      </c>
      <c r="E16" s="28">
        <v>560.0</v>
      </c>
      <c r="F16" s="29">
        <f t="shared" si="1"/>
        <v>779.1538462</v>
      </c>
      <c r="G16" s="23">
        <f t="shared" si="2"/>
        <v>147454.8654</v>
      </c>
      <c r="H16" s="30"/>
      <c r="I16" s="31"/>
      <c r="J16" s="31">
        <v>779.1538461538462</v>
      </c>
      <c r="K16" s="19">
        <f t="shared" si="3"/>
        <v>147454.8654</v>
      </c>
      <c r="L16" s="31">
        <v>11.0</v>
      </c>
      <c r="M16" s="76">
        <f t="shared" si="4"/>
        <v>2081.75</v>
      </c>
      <c r="N16" s="24">
        <f t="shared" si="5"/>
        <v>0.01411787936</v>
      </c>
      <c r="O16" s="30">
        <v>779.1538461538462</v>
      </c>
      <c r="P16" s="22">
        <f t="shared" si="6"/>
        <v>147454.8654</v>
      </c>
      <c r="Q16" s="30"/>
      <c r="R16" s="30"/>
      <c r="S16" s="30">
        <v>779.1538461538462</v>
      </c>
      <c r="T16" s="18">
        <f t="shared" si="7"/>
        <v>147454.8654</v>
      </c>
      <c r="U16" s="30"/>
      <c r="V16" s="67"/>
      <c r="W16" s="29">
        <f>ZEESHAN!W16+SAQIB!W16</f>
        <v>2894</v>
      </c>
      <c r="X16" s="23">
        <f t="shared" si="8"/>
        <v>547689.5</v>
      </c>
      <c r="Y16" s="18">
        <v>191.0</v>
      </c>
      <c r="Z16" s="24">
        <f t="shared" si="9"/>
        <v>0.06599861783</v>
      </c>
      <c r="AA16" s="25"/>
    </row>
    <row r="17">
      <c r="A17" s="26">
        <v>10.0</v>
      </c>
      <c r="B17" s="27" t="s">
        <v>29</v>
      </c>
      <c r="C17" s="26" t="s">
        <v>30</v>
      </c>
      <c r="D17" s="26">
        <v>128.86</v>
      </c>
      <c r="E17" s="28">
        <v>550.0</v>
      </c>
      <c r="F17" s="29">
        <f t="shared" si="1"/>
        <v>765.1538462</v>
      </c>
      <c r="G17" s="23">
        <f t="shared" si="2"/>
        <v>98597.72462</v>
      </c>
      <c r="H17" s="30"/>
      <c r="I17" s="31"/>
      <c r="J17" s="31">
        <v>765.1538461538462</v>
      </c>
      <c r="K17" s="19">
        <f t="shared" si="3"/>
        <v>98597.72462</v>
      </c>
      <c r="L17" s="31">
        <v>0.0</v>
      </c>
      <c r="M17" s="76">
        <f t="shared" si="4"/>
        <v>0</v>
      </c>
      <c r="N17" s="24">
        <f t="shared" si="5"/>
        <v>0</v>
      </c>
      <c r="O17" s="30">
        <v>765.1538461538462</v>
      </c>
      <c r="P17" s="22">
        <f t="shared" si="6"/>
        <v>98597.72462</v>
      </c>
      <c r="Q17" s="30"/>
      <c r="R17" s="30"/>
      <c r="S17" s="30">
        <v>765.1538461538462</v>
      </c>
      <c r="T17" s="18">
        <f t="shared" si="7"/>
        <v>98597.72462</v>
      </c>
      <c r="U17" s="30"/>
      <c r="V17" s="67"/>
      <c r="W17" s="29">
        <f>ZEESHAN!W17+SAQIB!W17</f>
        <v>2842</v>
      </c>
      <c r="X17" s="23">
        <f t="shared" si="8"/>
        <v>366220.12</v>
      </c>
      <c r="Y17" s="18">
        <v>2.0</v>
      </c>
      <c r="Z17" s="24">
        <f t="shared" si="9"/>
        <v>0.0007037297678</v>
      </c>
      <c r="AA17" s="25"/>
    </row>
    <row r="18">
      <c r="A18" s="26">
        <v>11.0</v>
      </c>
      <c r="B18" s="27" t="s">
        <v>31</v>
      </c>
      <c r="C18" s="26" t="s">
        <v>32</v>
      </c>
      <c r="D18" s="26">
        <v>94.9</v>
      </c>
      <c r="E18" s="28">
        <v>650.0</v>
      </c>
      <c r="F18" s="29">
        <f t="shared" si="1"/>
        <v>904.0769231</v>
      </c>
      <c r="G18" s="23">
        <f t="shared" si="2"/>
        <v>85796.9</v>
      </c>
      <c r="H18" s="30"/>
      <c r="I18" s="31"/>
      <c r="J18" s="31">
        <v>904.0769230769231</v>
      </c>
      <c r="K18" s="19">
        <f t="shared" si="3"/>
        <v>85796.9</v>
      </c>
      <c r="L18" s="31">
        <v>59.0</v>
      </c>
      <c r="M18" s="76">
        <f t="shared" si="4"/>
        <v>5599.1</v>
      </c>
      <c r="N18" s="24">
        <f t="shared" si="5"/>
        <v>0.06525993363</v>
      </c>
      <c r="O18" s="30">
        <v>904.0769230769231</v>
      </c>
      <c r="P18" s="22">
        <f t="shared" si="6"/>
        <v>85796.9</v>
      </c>
      <c r="Q18" s="30"/>
      <c r="R18" s="30"/>
      <c r="S18" s="30">
        <v>904.0769230769231</v>
      </c>
      <c r="T18" s="18">
        <f t="shared" si="7"/>
        <v>85796.9</v>
      </c>
      <c r="U18" s="30"/>
      <c r="V18" s="67"/>
      <c r="W18" s="29">
        <f>ZEESHAN!W18+SAQIB!W18</f>
        <v>3358</v>
      </c>
      <c r="X18" s="23">
        <f t="shared" si="8"/>
        <v>318674.2</v>
      </c>
      <c r="Y18" s="18">
        <v>393.0</v>
      </c>
      <c r="Z18" s="24">
        <f t="shared" si="9"/>
        <v>0.1170339488</v>
      </c>
      <c r="AA18" s="25"/>
    </row>
    <row r="19">
      <c r="A19" s="26">
        <v>12.0</v>
      </c>
      <c r="B19" s="27" t="s">
        <v>33</v>
      </c>
      <c r="C19" s="26" t="s">
        <v>34</v>
      </c>
      <c r="D19" s="26">
        <v>85.33</v>
      </c>
      <c r="E19" s="28">
        <v>550.0</v>
      </c>
      <c r="F19" s="29">
        <f t="shared" si="1"/>
        <v>765.1538462</v>
      </c>
      <c r="G19" s="23">
        <f t="shared" si="2"/>
        <v>65290.57769</v>
      </c>
      <c r="H19" s="30"/>
      <c r="I19" s="31"/>
      <c r="J19" s="31">
        <v>765.1538461538462</v>
      </c>
      <c r="K19" s="19">
        <f t="shared" si="3"/>
        <v>65290.57769</v>
      </c>
      <c r="L19" s="31">
        <v>563.0</v>
      </c>
      <c r="M19" s="76">
        <f t="shared" si="4"/>
        <v>48040.79</v>
      </c>
      <c r="N19" s="24">
        <f t="shared" si="5"/>
        <v>0.7357997386</v>
      </c>
      <c r="O19" s="30">
        <v>765.1538461538462</v>
      </c>
      <c r="P19" s="22">
        <f t="shared" si="6"/>
        <v>65290.57769</v>
      </c>
      <c r="Q19" s="30"/>
      <c r="R19" s="30"/>
      <c r="S19" s="30">
        <v>765.1538461538462</v>
      </c>
      <c r="T19" s="18">
        <f t="shared" si="7"/>
        <v>65290.57769</v>
      </c>
      <c r="U19" s="30"/>
      <c r="V19" s="67"/>
      <c r="W19" s="29">
        <f>ZEESHAN!W19+SAQIB!W19</f>
        <v>2842</v>
      </c>
      <c r="X19" s="23">
        <f t="shared" si="8"/>
        <v>242507.86</v>
      </c>
      <c r="Y19" s="18">
        <v>957.0</v>
      </c>
      <c r="Z19" s="24">
        <f t="shared" si="9"/>
        <v>0.3367346939</v>
      </c>
      <c r="AA19" s="25"/>
    </row>
    <row r="20">
      <c r="A20" s="26">
        <v>13.0</v>
      </c>
      <c r="B20" s="27" t="s">
        <v>35</v>
      </c>
      <c r="C20" s="26" t="s">
        <v>34</v>
      </c>
      <c r="D20" s="26">
        <v>64.65</v>
      </c>
      <c r="E20" s="28">
        <v>200.0</v>
      </c>
      <c r="F20" s="29">
        <f t="shared" si="1"/>
        <v>278.3846154</v>
      </c>
      <c r="G20" s="23">
        <f t="shared" si="2"/>
        <v>17997.56538</v>
      </c>
      <c r="H20" s="30"/>
      <c r="I20" s="31"/>
      <c r="J20" s="31">
        <v>278.38461538461536</v>
      </c>
      <c r="K20" s="19">
        <f t="shared" si="3"/>
        <v>17997.56538</v>
      </c>
      <c r="L20" s="31">
        <v>0.0</v>
      </c>
      <c r="M20" s="76">
        <f t="shared" si="4"/>
        <v>0</v>
      </c>
      <c r="N20" s="24">
        <f t="shared" si="5"/>
        <v>0</v>
      </c>
      <c r="O20" s="30">
        <v>278.38461538461536</v>
      </c>
      <c r="P20" s="22">
        <f t="shared" si="6"/>
        <v>17997.56538</v>
      </c>
      <c r="Q20" s="30"/>
      <c r="R20" s="30"/>
      <c r="S20" s="30">
        <v>278.38461538461536</v>
      </c>
      <c r="T20" s="18">
        <f t="shared" si="7"/>
        <v>17997.56538</v>
      </c>
      <c r="U20" s="30"/>
      <c r="V20" s="67"/>
      <c r="W20" s="29">
        <f>ZEESHAN!W20+SAQIB!W20</f>
        <v>1034</v>
      </c>
      <c r="X20" s="23">
        <f t="shared" si="8"/>
        <v>66848.1</v>
      </c>
      <c r="Y20" s="18">
        <v>0.0</v>
      </c>
      <c r="Z20" s="24">
        <f t="shared" si="9"/>
        <v>0</v>
      </c>
      <c r="AA20" s="25"/>
    </row>
    <row r="21" ht="15.75" customHeight="1">
      <c r="A21" s="26">
        <v>14.0</v>
      </c>
      <c r="B21" s="27" t="s">
        <v>36</v>
      </c>
      <c r="C21" s="26" t="s">
        <v>28</v>
      </c>
      <c r="D21" s="26">
        <v>99.39</v>
      </c>
      <c r="E21" s="28">
        <v>150.0</v>
      </c>
      <c r="F21" s="29">
        <f t="shared" si="1"/>
        <v>208.9230769</v>
      </c>
      <c r="G21" s="23">
        <f t="shared" si="2"/>
        <v>20764.86462</v>
      </c>
      <c r="H21" s="30"/>
      <c r="I21" s="31"/>
      <c r="J21" s="31">
        <v>208.92307692307693</v>
      </c>
      <c r="K21" s="19">
        <f t="shared" si="3"/>
        <v>20764.86462</v>
      </c>
      <c r="L21" s="31">
        <v>0.0</v>
      </c>
      <c r="M21" s="76">
        <f t="shared" si="4"/>
        <v>0</v>
      </c>
      <c r="N21" s="24">
        <f t="shared" si="5"/>
        <v>0</v>
      </c>
      <c r="O21" s="30">
        <v>208.92307692307693</v>
      </c>
      <c r="P21" s="22">
        <f t="shared" si="6"/>
        <v>20764.86462</v>
      </c>
      <c r="Q21" s="30"/>
      <c r="R21" s="30"/>
      <c r="S21" s="30">
        <v>208.92307692307693</v>
      </c>
      <c r="T21" s="18">
        <f t="shared" si="7"/>
        <v>20764.86462</v>
      </c>
      <c r="U21" s="30"/>
      <c r="V21" s="67"/>
      <c r="W21" s="29">
        <f>ZEESHAN!W21+SAQIB!W21</f>
        <v>776</v>
      </c>
      <c r="X21" s="23">
        <f t="shared" si="8"/>
        <v>77126.64</v>
      </c>
      <c r="Y21" s="18">
        <v>0.0</v>
      </c>
      <c r="Z21" s="24">
        <f t="shared" si="9"/>
        <v>0</v>
      </c>
      <c r="AA21" s="25"/>
    </row>
    <row r="22" ht="15.75" customHeight="1">
      <c r="A22" s="33">
        <v>15.0</v>
      </c>
      <c r="B22" s="34" t="s">
        <v>37</v>
      </c>
      <c r="C22" s="33" t="s">
        <v>21</v>
      </c>
      <c r="D22" s="33">
        <v>89.64</v>
      </c>
      <c r="E22" s="35">
        <v>300.0</v>
      </c>
      <c r="F22" s="36">
        <f t="shared" si="1"/>
        <v>417.3076923</v>
      </c>
      <c r="G22" s="37">
        <f t="shared" si="2"/>
        <v>37407.46154</v>
      </c>
      <c r="H22" s="38"/>
      <c r="I22" s="39"/>
      <c r="J22" s="39">
        <v>417.30769230769226</v>
      </c>
      <c r="K22" s="19">
        <f t="shared" si="3"/>
        <v>37407.46154</v>
      </c>
      <c r="L22" s="39">
        <v>113.0</v>
      </c>
      <c r="M22" s="76">
        <f t="shared" si="4"/>
        <v>10129.32</v>
      </c>
      <c r="N22" s="24">
        <f t="shared" si="5"/>
        <v>0.2707834101</v>
      </c>
      <c r="O22" s="38">
        <v>417.30769230769226</v>
      </c>
      <c r="P22" s="22">
        <f t="shared" si="6"/>
        <v>37407.46154</v>
      </c>
      <c r="Q22" s="38"/>
      <c r="R22" s="38"/>
      <c r="S22" s="38">
        <v>417.30769230769226</v>
      </c>
      <c r="T22" s="18">
        <f t="shared" si="7"/>
        <v>37407.46154</v>
      </c>
      <c r="U22" s="38"/>
      <c r="V22" s="68"/>
      <c r="W22" s="36">
        <f>ZEESHAN!W22+SAQIB!W22</f>
        <v>1550</v>
      </c>
      <c r="X22" s="23">
        <f t="shared" si="8"/>
        <v>138942</v>
      </c>
      <c r="Y22" s="18">
        <v>179.0</v>
      </c>
      <c r="Z22" s="24">
        <f t="shared" si="9"/>
        <v>0.115483871</v>
      </c>
      <c r="AA22" s="25"/>
    </row>
    <row r="23" ht="15.75" customHeight="1">
      <c r="A23" s="41" t="s">
        <v>38</v>
      </c>
      <c r="B23" s="7"/>
      <c r="C23" s="8"/>
      <c r="D23" s="42"/>
      <c r="E23" s="43"/>
      <c r="F23" s="44">
        <f>SUM(F8:F22)</f>
        <v>7669.307692</v>
      </c>
      <c r="G23" s="45">
        <f t="shared" si="2"/>
        <v>0</v>
      </c>
      <c r="H23" s="46"/>
      <c r="I23" s="46"/>
      <c r="J23" s="47">
        <f t="shared" ref="J23:M23" si="10">SUM(J8:J22)</f>
        <v>7669.307692</v>
      </c>
      <c r="K23" s="47">
        <f t="shared" si="10"/>
        <v>833477.2815</v>
      </c>
      <c r="L23" s="47">
        <f t="shared" si="10"/>
        <v>2065</v>
      </c>
      <c r="M23" s="100">
        <f t="shared" si="10"/>
        <v>216593.73</v>
      </c>
      <c r="N23" s="24">
        <f t="shared" si="5"/>
        <v>0.2692550727</v>
      </c>
      <c r="O23" s="49">
        <f>SUM(O8:O22)</f>
        <v>7669.307692</v>
      </c>
      <c r="P23" s="50">
        <f t="shared" si="6"/>
        <v>0</v>
      </c>
      <c r="Q23" s="46"/>
      <c r="R23" s="46"/>
      <c r="S23" s="47">
        <f t="shared" ref="S23:T23" si="11">SUM(S8:S22)</f>
        <v>7669.307692</v>
      </c>
      <c r="T23" s="47">
        <f t="shared" si="11"/>
        <v>833477.2815</v>
      </c>
      <c r="U23" s="47"/>
      <c r="V23" s="47"/>
      <c r="W23" s="51">
        <f>SUM(W8:W22)</f>
        <v>28486</v>
      </c>
      <c r="X23" s="52">
        <f t="shared" si="8"/>
        <v>0</v>
      </c>
      <c r="Y23" s="18">
        <v>4434.0</v>
      </c>
      <c r="Z23" s="24">
        <f t="shared" si="9"/>
        <v>0.1556554097</v>
      </c>
    </row>
    <row r="24" ht="15.75" customHeight="1">
      <c r="A24" s="41" t="s">
        <v>39</v>
      </c>
      <c r="B24" s="7"/>
      <c r="C24" s="8"/>
      <c r="D24" s="53"/>
      <c r="E24" s="54">
        <f>SUM(E8:E23)</f>
        <v>5512</v>
      </c>
      <c r="F24" s="55">
        <f>G24</f>
        <v>833477.2815</v>
      </c>
      <c r="G24" s="55">
        <f>SUM(G8:G23)</f>
        <v>833477.2815</v>
      </c>
      <c r="H24" s="55"/>
      <c r="I24" s="55"/>
      <c r="J24" s="55">
        <f>K23</f>
        <v>833477.2815</v>
      </c>
      <c r="K24" s="55"/>
      <c r="L24" s="55">
        <f>M23</f>
        <v>216593.73</v>
      </c>
      <c r="M24" s="101"/>
      <c r="N24" s="56">
        <f t="shared" si="5"/>
        <v>0.259867587</v>
      </c>
      <c r="O24" s="55">
        <f>P24</f>
        <v>833477.2815</v>
      </c>
      <c r="P24" s="55">
        <f>SUM(P8:P23)</f>
        <v>833477.2815</v>
      </c>
      <c r="Q24" s="55"/>
      <c r="R24" s="55"/>
      <c r="S24" s="55">
        <f>T23</f>
        <v>833477.2815</v>
      </c>
      <c r="T24" s="55"/>
      <c r="U24" s="55"/>
      <c r="V24" s="55"/>
      <c r="W24" s="70">
        <f>X24</f>
        <v>3095772.76</v>
      </c>
      <c r="X24" s="70">
        <f>SUM(X8:X23)</f>
        <v>3095772.76</v>
      </c>
      <c r="Y24" s="55">
        <f>Z23</f>
        <v>0.1556554097</v>
      </c>
      <c r="Z24" s="102">
        <f t="shared" si="9"/>
        <v>0.00000005027998556</v>
      </c>
      <c r="AA24" s="58"/>
    </row>
    <row r="25" ht="15.75" customHeight="1">
      <c r="B25" s="62"/>
      <c r="C25" s="62"/>
      <c r="D25" s="62"/>
      <c r="E25" s="62"/>
      <c r="F25" s="63"/>
      <c r="G25" s="62"/>
      <c r="H25" s="62"/>
      <c r="I25" s="62"/>
      <c r="J25" s="62"/>
      <c r="K25" s="62"/>
      <c r="L25" s="62"/>
      <c r="M25" s="62"/>
      <c r="N25" s="62"/>
      <c r="O25" s="64"/>
    </row>
    <row r="26" ht="15.75" customHeight="1">
      <c r="B26" s="65"/>
      <c r="D26" s="42"/>
      <c r="E26" s="42"/>
    </row>
    <row r="27" ht="15.75" customHeight="1">
      <c r="D27" s="42"/>
      <c r="E27" s="42"/>
    </row>
    <row r="28" ht="15.75" customHeight="1">
      <c r="D28" s="42"/>
      <c r="E28" s="42"/>
    </row>
    <row r="29" ht="15.75" customHeight="1">
      <c r="D29" s="42"/>
      <c r="E29" s="42"/>
    </row>
    <row r="30" ht="15.75" customHeight="1">
      <c r="D30" s="42"/>
      <c r="E30" s="42"/>
    </row>
    <row r="31" ht="15.75" customHeight="1">
      <c r="D31" s="42"/>
      <c r="E31" s="42"/>
    </row>
    <row r="32" ht="15.75" customHeight="1">
      <c r="D32" s="42"/>
      <c r="E32" s="42"/>
    </row>
    <row r="33" ht="15.75" customHeight="1">
      <c r="D33" s="42"/>
      <c r="E33" s="42"/>
    </row>
    <row r="34" ht="15.75" customHeight="1">
      <c r="D34" s="42"/>
      <c r="E34" s="42"/>
    </row>
    <row r="35" ht="15.75" customHeight="1">
      <c r="D35" s="42"/>
      <c r="E35" s="42"/>
    </row>
    <row r="36" ht="15.75" customHeight="1">
      <c r="D36" s="42"/>
      <c r="E36" s="42"/>
    </row>
    <row r="37" ht="15.75" customHeight="1">
      <c r="D37" s="42"/>
      <c r="E37" s="42"/>
      <c r="N37" s="103"/>
    </row>
    <row r="38" ht="15.75" customHeight="1">
      <c r="D38" s="42"/>
      <c r="E38" s="42"/>
    </row>
    <row r="39" ht="15.75" customHeight="1">
      <c r="D39" s="42"/>
      <c r="E39" s="42"/>
    </row>
    <row r="40" ht="15.75" customHeight="1">
      <c r="D40" s="42"/>
      <c r="E40" s="42"/>
    </row>
    <row r="41" ht="15.75" customHeight="1">
      <c r="D41" s="42"/>
      <c r="E41" s="42"/>
    </row>
    <row r="42" ht="15.75" customHeight="1">
      <c r="D42" s="42"/>
      <c r="E42" s="42"/>
    </row>
    <row r="43" ht="15.75" customHeight="1">
      <c r="D43" s="42"/>
      <c r="E43" s="42"/>
    </row>
    <row r="44" ht="15.75" customHeight="1">
      <c r="D44" s="42"/>
      <c r="E44" s="42"/>
    </row>
    <row r="45" ht="15.75" customHeight="1">
      <c r="D45" s="42"/>
      <c r="E45" s="42"/>
    </row>
    <row r="46" ht="15.75" customHeight="1">
      <c r="D46" s="42"/>
      <c r="E46" s="42"/>
    </row>
    <row r="47" ht="15.75" customHeight="1">
      <c r="D47" s="42"/>
      <c r="E47" s="42"/>
    </row>
    <row r="48" ht="15.75" customHeight="1">
      <c r="D48" s="42"/>
      <c r="E48" s="42"/>
    </row>
    <row r="49" ht="15.75" customHeight="1">
      <c r="D49" s="42"/>
      <c r="E49" s="42"/>
    </row>
    <row r="50" ht="15.75" customHeight="1">
      <c r="D50" s="42"/>
      <c r="E50" s="42"/>
    </row>
    <row r="51" ht="15.75" customHeight="1">
      <c r="D51" s="42"/>
      <c r="E51" s="42"/>
    </row>
    <row r="52" ht="15.75" customHeight="1">
      <c r="D52" s="42"/>
      <c r="E52" s="42"/>
    </row>
    <row r="53" ht="15.75" customHeight="1">
      <c r="D53" s="42"/>
      <c r="E53" s="42"/>
    </row>
    <row r="54" ht="15.75" customHeight="1">
      <c r="D54" s="42"/>
      <c r="E54" s="42"/>
    </row>
    <row r="55" ht="15.75" customHeight="1">
      <c r="D55" s="42"/>
      <c r="E55" s="42"/>
    </row>
    <row r="56" ht="15.75" customHeight="1">
      <c r="D56" s="42"/>
      <c r="E56" s="42"/>
    </row>
    <row r="57" ht="15.75" customHeight="1">
      <c r="D57" s="42"/>
      <c r="E57" s="42"/>
    </row>
    <row r="58" ht="15.75" customHeight="1">
      <c r="D58" s="42"/>
      <c r="E58" s="42"/>
    </row>
    <row r="59" ht="15.75" customHeight="1">
      <c r="D59" s="42"/>
      <c r="E59" s="42"/>
    </row>
    <row r="60" ht="15.75" customHeight="1">
      <c r="D60" s="42"/>
      <c r="E60" s="42"/>
    </row>
    <row r="61" ht="15.75" customHeight="1">
      <c r="D61" s="42"/>
      <c r="E61" s="42"/>
    </row>
    <row r="62" ht="15.75" customHeight="1">
      <c r="D62" s="42"/>
      <c r="E62" s="42"/>
    </row>
    <row r="63" ht="15.75" customHeight="1">
      <c r="D63" s="42"/>
      <c r="E63" s="42"/>
    </row>
    <row r="64" ht="15.75" customHeight="1">
      <c r="D64" s="42"/>
      <c r="E64" s="42"/>
    </row>
    <row r="65" ht="15.75" customHeight="1">
      <c r="D65" s="42"/>
      <c r="E65" s="42"/>
    </row>
    <row r="66" ht="15.75" customHeight="1">
      <c r="D66" s="42"/>
      <c r="E66" s="42"/>
    </row>
    <row r="67" ht="15.75" customHeight="1">
      <c r="D67" s="42"/>
      <c r="E67" s="42"/>
    </row>
    <row r="68" ht="15.75" customHeight="1">
      <c r="D68" s="42"/>
      <c r="E68" s="42"/>
    </row>
    <row r="69" ht="15.75" customHeight="1">
      <c r="D69" s="42"/>
      <c r="E69" s="42"/>
    </row>
    <row r="70" ht="15.75" customHeight="1">
      <c r="D70" s="42"/>
      <c r="E70" s="42"/>
    </row>
    <row r="71" ht="15.75" customHeight="1">
      <c r="D71" s="42"/>
      <c r="E71" s="42"/>
    </row>
    <row r="72" ht="15.75" customHeight="1">
      <c r="D72" s="42"/>
      <c r="E72" s="42"/>
    </row>
    <row r="73" ht="15.75" customHeight="1">
      <c r="D73" s="42"/>
      <c r="E73" s="42"/>
    </row>
    <row r="74" ht="15.75" customHeight="1">
      <c r="D74" s="42"/>
      <c r="E74" s="42"/>
    </row>
    <row r="75" ht="15.75" customHeight="1">
      <c r="D75" s="42"/>
      <c r="E75" s="42"/>
    </row>
    <row r="76" ht="15.75" customHeight="1">
      <c r="D76" s="42"/>
      <c r="E76" s="42"/>
    </row>
    <row r="77" ht="15.75" customHeight="1">
      <c r="D77" s="42"/>
      <c r="E77" s="42"/>
    </row>
    <row r="78" ht="15.75" customHeight="1">
      <c r="D78" s="42"/>
      <c r="E78" s="42"/>
    </row>
    <row r="79" ht="15.75" customHeight="1">
      <c r="D79" s="42"/>
      <c r="E79" s="42"/>
    </row>
    <row r="80" ht="15.75" customHeight="1">
      <c r="D80" s="42"/>
      <c r="E80" s="42"/>
    </row>
    <row r="81" ht="15.75" customHeight="1">
      <c r="D81" s="42"/>
      <c r="E81" s="42"/>
    </row>
    <row r="82" ht="15.75" customHeight="1">
      <c r="D82" s="42"/>
      <c r="E82" s="42"/>
    </row>
    <row r="83" ht="15.75" customHeight="1">
      <c r="D83" s="42"/>
      <c r="E83" s="42"/>
    </row>
    <row r="84" ht="15.75" customHeight="1">
      <c r="D84" s="42"/>
      <c r="E84" s="42"/>
    </row>
    <row r="85" ht="15.75" customHeight="1">
      <c r="D85" s="42"/>
      <c r="E85" s="42"/>
    </row>
    <row r="86" ht="15.75" customHeight="1">
      <c r="D86" s="42"/>
      <c r="E86" s="42"/>
    </row>
    <row r="87" ht="15.75" customHeight="1">
      <c r="D87" s="42"/>
      <c r="E87" s="42"/>
    </row>
    <row r="88" ht="15.75" customHeight="1">
      <c r="D88" s="42"/>
      <c r="E88" s="42"/>
    </row>
    <row r="89" ht="15.75" customHeight="1">
      <c r="D89" s="42"/>
      <c r="E89" s="42"/>
    </row>
    <row r="90" ht="15.75" customHeight="1">
      <c r="D90" s="42"/>
      <c r="E90" s="42"/>
    </row>
    <row r="91" ht="15.75" customHeight="1">
      <c r="D91" s="42"/>
      <c r="E91" s="42"/>
    </row>
    <row r="92" ht="15.75" customHeight="1">
      <c r="D92" s="42"/>
      <c r="E92" s="42"/>
    </row>
    <row r="93" ht="15.75" customHeight="1">
      <c r="D93" s="42"/>
      <c r="E93" s="42"/>
    </row>
    <row r="94" ht="15.75" customHeight="1">
      <c r="D94" s="42"/>
      <c r="E94" s="42"/>
    </row>
    <row r="95" ht="15.75" customHeight="1">
      <c r="D95" s="42"/>
      <c r="E95" s="42"/>
    </row>
    <row r="96" ht="15.75" customHeight="1">
      <c r="D96" s="42"/>
      <c r="E96" s="42"/>
    </row>
    <row r="97" ht="15.75" customHeight="1">
      <c r="D97" s="42"/>
      <c r="E97" s="42"/>
    </row>
    <row r="98" ht="15.75" customHeight="1">
      <c r="D98" s="42"/>
      <c r="E98" s="42"/>
    </row>
    <row r="99" ht="15.75" customHeight="1">
      <c r="D99" s="42"/>
      <c r="E99" s="42"/>
    </row>
    <row r="100" ht="15.75" customHeight="1">
      <c r="D100" s="42"/>
      <c r="E100" s="42"/>
    </row>
    <row r="101" ht="15.75" customHeight="1">
      <c r="D101" s="42"/>
      <c r="E101" s="42"/>
    </row>
    <row r="102" ht="15.75" customHeight="1">
      <c r="D102" s="42"/>
      <c r="E102" s="42"/>
    </row>
    <row r="103" ht="15.75" customHeight="1">
      <c r="D103" s="42"/>
      <c r="E103" s="42"/>
    </row>
    <row r="104" ht="15.75" customHeight="1">
      <c r="D104" s="42"/>
      <c r="E104" s="42"/>
    </row>
    <row r="105" ht="15.75" customHeight="1">
      <c r="D105" s="42"/>
      <c r="E105" s="42"/>
    </row>
    <row r="106" ht="15.75" customHeight="1">
      <c r="D106" s="42"/>
      <c r="E106" s="42"/>
    </row>
    <row r="107" ht="15.75" customHeight="1">
      <c r="D107" s="42"/>
      <c r="E107" s="42"/>
    </row>
    <row r="108" ht="15.75" customHeight="1">
      <c r="D108" s="42"/>
      <c r="E108" s="42"/>
    </row>
    <row r="109" ht="15.75" customHeight="1">
      <c r="D109" s="42"/>
      <c r="E109" s="42"/>
    </row>
    <row r="110" ht="15.75" customHeight="1">
      <c r="D110" s="42"/>
      <c r="E110" s="42"/>
    </row>
    <row r="111" ht="15.75" customHeight="1">
      <c r="D111" s="42"/>
      <c r="E111" s="42"/>
    </row>
    <row r="112" ht="15.75" customHeight="1">
      <c r="D112" s="42"/>
      <c r="E112" s="42"/>
    </row>
    <row r="113" ht="15.75" customHeight="1">
      <c r="D113" s="42"/>
      <c r="E113" s="42"/>
    </row>
    <row r="114" ht="15.75" customHeight="1">
      <c r="D114" s="42"/>
      <c r="E114" s="42"/>
    </row>
    <row r="115" ht="15.75" customHeight="1">
      <c r="D115" s="42"/>
      <c r="E115" s="42"/>
    </row>
    <row r="116" ht="15.75" customHeight="1">
      <c r="D116" s="42"/>
      <c r="E116" s="42"/>
    </row>
    <row r="117" ht="15.75" customHeight="1">
      <c r="D117" s="42"/>
      <c r="E117" s="42"/>
    </row>
    <row r="118" ht="15.75" customHeight="1">
      <c r="D118" s="42"/>
      <c r="E118" s="42"/>
    </row>
    <row r="119" ht="15.75" customHeight="1">
      <c r="D119" s="42"/>
      <c r="E119" s="42"/>
    </row>
    <row r="120" ht="15.75" customHeight="1">
      <c r="D120" s="42"/>
      <c r="E120" s="42"/>
    </row>
    <row r="121" ht="15.75" customHeight="1">
      <c r="D121" s="42"/>
      <c r="E121" s="42"/>
    </row>
    <row r="122" ht="15.75" customHeight="1">
      <c r="D122" s="42"/>
      <c r="E122" s="42"/>
    </row>
    <row r="123" ht="15.75" customHeight="1">
      <c r="D123" s="42"/>
      <c r="E123" s="42"/>
    </row>
    <row r="124" ht="15.75" customHeight="1">
      <c r="D124" s="42"/>
      <c r="E124" s="42"/>
    </row>
    <row r="125" ht="15.75" customHeight="1">
      <c r="D125" s="42"/>
      <c r="E125" s="42"/>
    </row>
    <row r="126" ht="15.75" customHeight="1">
      <c r="D126" s="42"/>
      <c r="E126" s="42"/>
    </row>
    <row r="127" ht="15.75" customHeight="1">
      <c r="D127" s="42"/>
      <c r="E127" s="42"/>
    </row>
    <row r="128" ht="15.75" customHeight="1">
      <c r="D128" s="42"/>
      <c r="E128" s="42"/>
    </row>
    <row r="129" ht="15.75" customHeight="1">
      <c r="D129" s="42"/>
      <c r="E129" s="42"/>
    </row>
    <row r="130" ht="15.75" customHeight="1">
      <c r="D130" s="42"/>
      <c r="E130" s="42"/>
    </row>
    <row r="131" ht="15.75" customHeight="1">
      <c r="D131" s="42"/>
      <c r="E131" s="42"/>
    </row>
    <row r="132" ht="15.75" customHeight="1">
      <c r="D132" s="42"/>
      <c r="E132" s="42"/>
    </row>
    <row r="133" ht="15.75" customHeight="1">
      <c r="D133" s="42"/>
      <c r="E133" s="42"/>
    </row>
    <row r="134" ht="15.75" customHeight="1">
      <c r="D134" s="42"/>
      <c r="E134" s="42"/>
    </row>
    <row r="135" ht="15.75" customHeight="1">
      <c r="D135" s="42"/>
      <c r="E135" s="42"/>
    </row>
    <row r="136" ht="15.75" customHeight="1">
      <c r="D136" s="42"/>
      <c r="E136" s="42"/>
    </row>
    <row r="137" ht="15.75" customHeight="1">
      <c r="D137" s="42"/>
      <c r="E137" s="42"/>
    </row>
    <row r="138" ht="15.75" customHeight="1">
      <c r="D138" s="42"/>
      <c r="E138" s="42"/>
    </row>
    <row r="139" ht="15.75" customHeight="1">
      <c r="D139" s="42"/>
      <c r="E139" s="42"/>
    </row>
    <row r="140" ht="15.75" customHeight="1">
      <c r="D140" s="42"/>
      <c r="E140" s="42"/>
    </row>
    <row r="141" ht="15.75" customHeight="1">
      <c r="D141" s="42"/>
      <c r="E141" s="42"/>
    </row>
    <row r="142" ht="15.75" customHeight="1">
      <c r="D142" s="42"/>
      <c r="E142" s="42"/>
    </row>
    <row r="143" ht="15.75" customHeight="1">
      <c r="D143" s="42"/>
      <c r="E143" s="42"/>
    </row>
    <row r="144" ht="15.75" customHeight="1">
      <c r="D144" s="42"/>
      <c r="E144" s="42"/>
    </row>
    <row r="145" ht="15.75" customHeight="1">
      <c r="D145" s="42"/>
      <c r="E145" s="42"/>
    </row>
    <row r="146" ht="15.75" customHeight="1">
      <c r="D146" s="42"/>
      <c r="E146" s="42"/>
    </row>
    <row r="147" ht="15.75" customHeight="1">
      <c r="D147" s="42"/>
      <c r="E147" s="42"/>
    </row>
    <row r="148" ht="15.75" customHeight="1">
      <c r="D148" s="42"/>
      <c r="E148" s="42"/>
    </row>
    <row r="149" ht="15.75" customHeight="1">
      <c r="D149" s="42"/>
      <c r="E149" s="42"/>
    </row>
    <row r="150" ht="15.75" customHeight="1">
      <c r="D150" s="42"/>
      <c r="E150" s="42"/>
    </row>
    <row r="151" ht="15.75" customHeight="1">
      <c r="D151" s="42"/>
      <c r="E151" s="42"/>
    </row>
    <row r="152" ht="15.75" customHeight="1">
      <c r="D152" s="42"/>
      <c r="E152" s="42"/>
    </row>
    <row r="153" ht="15.75" customHeight="1">
      <c r="D153" s="42"/>
      <c r="E153" s="42"/>
    </row>
    <row r="154" ht="15.75" customHeight="1">
      <c r="D154" s="42"/>
      <c r="E154" s="42"/>
    </row>
    <row r="155" ht="15.75" customHeight="1">
      <c r="D155" s="42"/>
      <c r="E155" s="42"/>
    </row>
    <row r="156" ht="15.75" customHeight="1">
      <c r="D156" s="42"/>
      <c r="E156" s="42"/>
    </row>
    <row r="157" ht="15.75" customHeight="1">
      <c r="D157" s="42"/>
      <c r="E157" s="42"/>
    </row>
    <row r="158" ht="15.75" customHeight="1">
      <c r="D158" s="42"/>
      <c r="E158" s="42"/>
    </row>
    <row r="159" ht="15.75" customHeight="1">
      <c r="D159" s="42"/>
      <c r="E159" s="42"/>
    </row>
    <row r="160" ht="15.75" customHeight="1">
      <c r="D160" s="42"/>
      <c r="E160" s="42"/>
    </row>
    <row r="161" ht="15.75" customHeight="1">
      <c r="D161" s="42"/>
      <c r="E161" s="42"/>
    </row>
    <row r="162" ht="15.75" customHeight="1">
      <c r="D162" s="42"/>
      <c r="E162" s="42"/>
    </row>
    <row r="163" ht="15.75" customHeight="1">
      <c r="D163" s="42"/>
      <c r="E163" s="42"/>
    </row>
    <row r="164" ht="15.75" customHeight="1">
      <c r="D164" s="42"/>
      <c r="E164" s="42"/>
    </row>
    <row r="165" ht="15.75" customHeight="1">
      <c r="D165" s="42"/>
      <c r="E165" s="42"/>
    </row>
    <row r="166" ht="15.75" customHeight="1">
      <c r="D166" s="42"/>
      <c r="E166" s="42"/>
    </row>
    <row r="167" ht="15.75" customHeight="1">
      <c r="D167" s="42"/>
      <c r="E167" s="42"/>
    </row>
    <row r="168" ht="15.75" customHeight="1">
      <c r="D168" s="42"/>
      <c r="E168" s="42"/>
    </row>
    <row r="169" ht="15.75" customHeight="1">
      <c r="D169" s="42"/>
      <c r="E169" s="42"/>
    </row>
    <row r="170" ht="15.75" customHeight="1">
      <c r="D170" s="42"/>
      <c r="E170" s="42"/>
    </row>
    <row r="171" ht="15.75" customHeight="1">
      <c r="D171" s="42"/>
      <c r="E171" s="42"/>
    </row>
    <row r="172" ht="15.75" customHeight="1">
      <c r="D172" s="42"/>
      <c r="E172" s="42"/>
    </row>
    <row r="173" ht="15.75" customHeight="1">
      <c r="D173" s="42"/>
      <c r="E173" s="42"/>
    </row>
    <row r="174" ht="15.75" customHeight="1">
      <c r="D174" s="42"/>
      <c r="E174" s="42"/>
    </row>
    <row r="175" ht="15.75" customHeight="1">
      <c r="D175" s="42"/>
      <c r="E175" s="42"/>
    </row>
    <row r="176" ht="15.75" customHeight="1">
      <c r="D176" s="42"/>
      <c r="E176" s="42"/>
    </row>
    <row r="177" ht="15.75" customHeight="1">
      <c r="D177" s="42"/>
      <c r="E177" s="42"/>
    </row>
    <row r="178" ht="15.75" customHeight="1">
      <c r="D178" s="42"/>
      <c r="E178" s="42"/>
    </row>
    <row r="179" ht="15.75" customHeight="1">
      <c r="D179" s="42"/>
      <c r="E179" s="42"/>
    </row>
    <row r="180" ht="15.75" customHeight="1">
      <c r="D180" s="42"/>
      <c r="E180" s="42"/>
    </row>
    <row r="181" ht="15.75" customHeight="1">
      <c r="D181" s="42"/>
      <c r="E181" s="42"/>
    </row>
    <row r="182" ht="15.75" customHeight="1">
      <c r="D182" s="42"/>
      <c r="E182" s="42"/>
    </row>
    <row r="183" ht="15.75" customHeight="1">
      <c r="D183" s="42"/>
      <c r="E183" s="42"/>
    </row>
    <row r="184" ht="15.75" customHeight="1">
      <c r="D184" s="42"/>
      <c r="E184" s="42"/>
    </row>
    <row r="185" ht="15.75" customHeight="1">
      <c r="D185" s="42"/>
      <c r="E185" s="42"/>
    </row>
    <row r="186" ht="15.75" customHeight="1">
      <c r="D186" s="42"/>
      <c r="E186" s="42"/>
    </row>
    <row r="187" ht="15.75" customHeight="1">
      <c r="D187" s="42"/>
      <c r="E187" s="42"/>
    </row>
    <row r="188" ht="15.75" customHeight="1">
      <c r="D188" s="42"/>
      <c r="E188" s="42"/>
    </row>
    <row r="189" ht="15.75" customHeight="1">
      <c r="D189" s="42"/>
      <c r="E189" s="42"/>
    </row>
    <row r="190" ht="15.75" customHeight="1">
      <c r="D190" s="42"/>
      <c r="E190" s="42"/>
    </row>
    <row r="191" ht="15.75" customHeight="1">
      <c r="D191" s="42"/>
      <c r="E191" s="42"/>
    </row>
    <row r="192" ht="15.75" customHeight="1">
      <c r="D192" s="42"/>
      <c r="E192" s="42"/>
    </row>
    <row r="193" ht="15.75" customHeight="1">
      <c r="D193" s="42"/>
      <c r="E193" s="42"/>
    </row>
    <row r="194" ht="15.75" customHeight="1">
      <c r="D194" s="42"/>
      <c r="E194" s="42"/>
    </row>
    <row r="195" ht="15.75" customHeight="1">
      <c r="D195" s="42"/>
      <c r="E195" s="42"/>
    </row>
    <row r="196" ht="15.75" customHeight="1">
      <c r="D196" s="42"/>
      <c r="E196" s="42"/>
    </row>
    <row r="197" ht="15.75" customHeight="1">
      <c r="D197" s="42"/>
      <c r="E197" s="42"/>
    </row>
    <row r="198" ht="15.75" customHeight="1">
      <c r="D198" s="42"/>
      <c r="E198" s="42"/>
    </row>
    <row r="199" ht="15.75" customHeight="1">
      <c r="D199" s="42"/>
      <c r="E199" s="42"/>
    </row>
    <row r="200" ht="15.75" customHeight="1">
      <c r="D200" s="42"/>
      <c r="E200" s="42"/>
    </row>
    <row r="201" ht="15.75" customHeight="1">
      <c r="D201" s="42"/>
      <c r="E201" s="42"/>
    </row>
    <row r="202" ht="15.75" customHeight="1">
      <c r="D202" s="42"/>
      <c r="E202" s="42"/>
    </row>
    <row r="203" ht="15.75" customHeight="1">
      <c r="D203" s="42"/>
      <c r="E203" s="42"/>
    </row>
    <row r="204" ht="15.75" customHeight="1">
      <c r="D204" s="42"/>
      <c r="E204" s="42"/>
    </row>
    <row r="205" ht="15.75" customHeight="1">
      <c r="D205" s="42"/>
      <c r="E205" s="42"/>
    </row>
    <row r="206" ht="15.75" customHeight="1">
      <c r="D206" s="42"/>
      <c r="E206" s="42"/>
    </row>
    <row r="207" ht="15.75" customHeight="1">
      <c r="D207" s="42"/>
      <c r="E207" s="42"/>
    </row>
    <row r="208" ht="15.75" customHeight="1">
      <c r="D208" s="42"/>
      <c r="E208" s="42"/>
    </row>
    <row r="209" ht="15.75" customHeight="1">
      <c r="D209" s="42"/>
      <c r="E209" s="42"/>
    </row>
    <row r="210" ht="15.75" customHeight="1">
      <c r="D210" s="42"/>
      <c r="E210" s="42"/>
    </row>
    <row r="211" ht="15.75" customHeight="1">
      <c r="D211" s="42"/>
      <c r="E211" s="42"/>
    </row>
    <row r="212" ht="15.75" customHeight="1">
      <c r="D212" s="42"/>
      <c r="E212" s="42"/>
    </row>
    <row r="213" ht="15.75" customHeight="1">
      <c r="D213" s="42"/>
      <c r="E213" s="42"/>
    </row>
    <row r="214" ht="15.75" customHeight="1">
      <c r="D214" s="42"/>
      <c r="E214" s="42"/>
    </row>
    <row r="215" ht="15.75" customHeight="1">
      <c r="D215" s="42"/>
      <c r="E215" s="42"/>
    </row>
    <row r="216" ht="15.75" customHeight="1">
      <c r="D216" s="42"/>
      <c r="E216" s="42"/>
    </row>
    <row r="217" ht="15.75" customHeight="1">
      <c r="D217" s="42"/>
      <c r="E217" s="42"/>
    </row>
    <row r="218" ht="15.75" customHeight="1">
      <c r="D218" s="42"/>
      <c r="E218" s="42"/>
    </row>
    <row r="219" ht="15.75" customHeight="1">
      <c r="D219" s="42"/>
      <c r="E219" s="42"/>
    </row>
    <row r="220" ht="15.75" customHeight="1">
      <c r="D220" s="42"/>
      <c r="E220" s="42"/>
    </row>
    <row r="221" ht="15.75" customHeight="1">
      <c r="D221" s="42"/>
      <c r="E221" s="42"/>
    </row>
    <row r="222" ht="15.75" customHeight="1">
      <c r="D222" s="42"/>
      <c r="E222" s="42"/>
    </row>
    <row r="223" ht="15.75" customHeight="1">
      <c r="D223" s="42"/>
      <c r="E223" s="42"/>
    </row>
    <row r="224" ht="15.75" customHeight="1">
      <c r="D224" s="42"/>
      <c r="E224" s="42"/>
    </row>
    <row r="225" ht="15.75" customHeight="1">
      <c r="D225" s="42"/>
      <c r="E225" s="42"/>
    </row>
    <row r="226" ht="15.75" customHeight="1">
      <c r="D226" s="42"/>
      <c r="E226" s="42"/>
    </row>
    <row r="227" ht="15.75" customHeight="1">
      <c r="D227" s="42"/>
      <c r="E227" s="42"/>
    </row>
    <row r="228" ht="15.75" customHeight="1">
      <c r="D228" s="42"/>
      <c r="E228" s="42"/>
    </row>
    <row r="229" ht="15.75" customHeight="1">
      <c r="D229" s="42"/>
      <c r="E229" s="42"/>
    </row>
    <row r="230" ht="15.75" customHeight="1">
      <c r="D230" s="42"/>
      <c r="E230" s="42"/>
    </row>
    <row r="231" ht="15.75" customHeight="1">
      <c r="D231" s="42"/>
      <c r="E231" s="42"/>
    </row>
    <row r="232" ht="15.75" customHeight="1">
      <c r="D232" s="42"/>
      <c r="E232" s="42"/>
    </row>
    <row r="233" ht="15.75" customHeight="1">
      <c r="D233" s="42"/>
      <c r="E233" s="42"/>
    </row>
    <row r="234" ht="15.75" customHeight="1">
      <c r="D234" s="42"/>
      <c r="E234" s="42"/>
    </row>
    <row r="235" ht="15.75" customHeight="1">
      <c r="D235" s="42"/>
      <c r="E235" s="42"/>
    </row>
    <row r="236" ht="15.75" customHeight="1">
      <c r="D236" s="42"/>
      <c r="E236" s="42"/>
    </row>
    <row r="237" ht="15.75" customHeight="1">
      <c r="D237" s="42"/>
      <c r="E237" s="42"/>
    </row>
    <row r="238" ht="15.75" customHeight="1">
      <c r="D238" s="42"/>
      <c r="E238" s="42"/>
    </row>
    <row r="239" ht="15.75" customHeight="1">
      <c r="D239" s="42"/>
      <c r="E239" s="42"/>
    </row>
    <row r="240" ht="15.75" customHeight="1">
      <c r="D240" s="42"/>
      <c r="E240" s="42"/>
    </row>
    <row r="241" ht="15.75" customHeight="1">
      <c r="D241" s="42"/>
      <c r="E241" s="42"/>
    </row>
    <row r="242" ht="15.75" customHeight="1">
      <c r="D242" s="42"/>
      <c r="E242" s="42"/>
    </row>
    <row r="243" ht="15.75" customHeight="1">
      <c r="D243" s="42"/>
      <c r="E243" s="42"/>
    </row>
    <row r="244" ht="15.75" customHeight="1">
      <c r="D244" s="42"/>
      <c r="E244" s="42"/>
    </row>
    <row r="245" ht="15.75" customHeight="1">
      <c r="D245" s="42"/>
      <c r="E245" s="42"/>
    </row>
    <row r="246" ht="15.75" customHeight="1">
      <c r="D246" s="42"/>
      <c r="E246" s="42"/>
    </row>
    <row r="247" ht="15.75" customHeight="1">
      <c r="D247" s="42"/>
      <c r="E247" s="42"/>
    </row>
    <row r="248" ht="15.75" customHeight="1">
      <c r="D248" s="42"/>
      <c r="E248" s="42"/>
    </row>
    <row r="249" ht="15.75" customHeight="1">
      <c r="D249" s="42"/>
      <c r="E249" s="42"/>
    </row>
    <row r="250" ht="15.75" customHeight="1">
      <c r="D250" s="42"/>
      <c r="E250" s="42"/>
    </row>
    <row r="251" ht="15.75" customHeight="1">
      <c r="D251" s="42"/>
      <c r="E251" s="42"/>
    </row>
    <row r="252" ht="15.75" customHeight="1">
      <c r="D252" s="42"/>
      <c r="E252" s="42"/>
    </row>
    <row r="253" ht="15.75" customHeight="1">
      <c r="D253" s="42"/>
      <c r="E253" s="42"/>
    </row>
    <row r="254" ht="15.75" customHeight="1">
      <c r="D254" s="42"/>
      <c r="E254" s="42"/>
    </row>
    <row r="255" ht="15.75" customHeight="1">
      <c r="D255" s="42"/>
      <c r="E255" s="42"/>
    </row>
    <row r="256" ht="15.75" customHeight="1">
      <c r="D256" s="42"/>
      <c r="E256" s="42"/>
    </row>
    <row r="257" ht="15.75" customHeight="1">
      <c r="D257" s="42"/>
      <c r="E257" s="42"/>
    </row>
    <row r="258" ht="15.75" customHeight="1">
      <c r="D258" s="42"/>
      <c r="E258" s="42"/>
    </row>
    <row r="259" ht="15.75" customHeight="1">
      <c r="D259" s="42"/>
      <c r="E259" s="42"/>
    </row>
    <row r="260" ht="15.75" customHeight="1">
      <c r="D260" s="42"/>
      <c r="E260" s="42"/>
    </row>
    <row r="261" ht="15.75" customHeight="1">
      <c r="D261" s="42"/>
      <c r="E261" s="42"/>
    </row>
    <row r="262" ht="15.75" customHeight="1">
      <c r="D262" s="42"/>
      <c r="E262" s="42"/>
    </row>
    <row r="263" ht="15.75" customHeight="1">
      <c r="D263" s="42"/>
      <c r="E263" s="42"/>
    </row>
    <row r="264" ht="15.75" customHeight="1">
      <c r="D264" s="42"/>
      <c r="E264" s="42"/>
    </row>
    <row r="265" ht="15.75" customHeight="1">
      <c r="D265" s="42"/>
      <c r="E265" s="42"/>
    </row>
    <row r="266" ht="15.75" customHeight="1">
      <c r="D266" s="42"/>
      <c r="E266" s="42"/>
    </row>
    <row r="267" ht="15.75" customHeight="1">
      <c r="D267" s="42"/>
      <c r="E267" s="42"/>
    </row>
    <row r="268" ht="15.75" customHeight="1">
      <c r="D268" s="42"/>
      <c r="E268" s="42"/>
    </row>
    <row r="269" ht="15.75" customHeight="1">
      <c r="D269" s="42"/>
      <c r="E269" s="42"/>
    </row>
    <row r="270" ht="15.75" customHeight="1">
      <c r="D270" s="42"/>
      <c r="E270" s="42"/>
    </row>
    <row r="271" ht="15.75" customHeight="1">
      <c r="D271" s="42"/>
      <c r="E271" s="42"/>
    </row>
    <row r="272" ht="15.75" customHeight="1">
      <c r="D272" s="42"/>
      <c r="E272" s="42"/>
    </row>
    <row r="273" ht="15.75" customHeight="1">
      <c r="D273" s="42"/>
      <c r="E273" s="42"/>
    </row>
    <row r="274" ht="15.75" customHeight="1">
      <c r="D274" s="42"/>
      <c r="E274" s="42"/>
    </row>
    <row r="275" ht="15.75" customHeight="1">
      <c r="D275" s="42"/>
      <c r="E275" s="42"/>
    </row>
    <row r="276" ht="15.75" customHeight="1">
      <c r="D276" s="42"/>
      <c r="E276" s="42"/>
    </row>
    <row r="277" ht="15.75" customHeight="1">
      <c r="D277" s="42"/>
      <c r="E277" s="42"/>
    </row>
    <row r="278" ht="15.75" customHeight="1">
      <c r="D278" s="42"/>
      <c r="E278" s="42"/>
    </row>
    <row r="279" ht="15.75" customHeight="1">
      <c r="D279" s="42"/>
      <c r="E279" s="42"/>
    </row>
    <row r="280" ht="15.75" customHeight="1">
      <c r="D280" s="42"/>
      <c r="E280" s="42"/>
    </row>
    <row r="281" ht="15.75" customHeight="1">
      <c r="D281" s="42"/>
      <c r="E281" s="42"/>
    </row>
    <row r="282" ht="15.75" customHeight="1">
      <c r="D282" s="42"/>
      <c r="E282" s="42"/>
    </row>
    <row r="283" ht="15.75" customHeight="1">
      <c r="D283" s="42"/>
      <c r="E283" s="42"/>
    </row>
    <row r="284" ht="15.75" customHeight="1">
      <c r="D284" s="42"/>
      <c r="E284" s="42"/>
    </row>
    <row r="285" ht="15.75" customHeight="1">
      <c r="D285" s="42"/>
      <c r="E285" s="42"/>
    </row>
    <row r="286" ht="15.75" customHeight="1">
      <c r="D286" s="42"/>
      <c r="E286" s="42"/>
    </row>
    <row r="287" ht="15.75" customHeight="1">
      <c r="D287" s="42"/>
      <c r="E287" s="42"/>
    </row>
    <row r="288" ht="15.75" customHeight="1">
      <c r="D288" s="42"/>
      <c r="E288" s="42"/>
    </row>
    <row r="289" ht="15.75" customHeight="1">
      <c r="D289" s="42"/>
      <c r="E289" s="42"/>
    </row>
    <row r="290" ht="15.75" customHeight="1">
      <c r="D290" s="42"/>
      <c r="E290" s="42"/>
    </row>
    <row r="291" ht="15.75" customHeight="1">
      <c r="D291" s="42"/>
      <c r="E291" s="42"/>
    </row>
    <row r="292" ht="15.75" customHeight="1">
      <c r="D292" s="42"/>
      <c r="E292" s="42"/>
    </row>
    <row r="293" ht="15.75" customHeight="1">
      <c r="D293" s="42"/>
      <c r="E293" s="42"/>
    </row>
    <row r="294" ht="15.75" customHeight="1">
      <c r="D294" s="42"/>
      <c r="E294" s="42"/>
    </row>
    <row r="295" ht="15.75" customHeight="1">
      <c r="D295" s="42"/>
      <c r="E295" s="42"/>
    </row>
    <row r="296" ht="15.75" customHeight="1">
      <c r="D296" s="42"/>
      <c r="E296" s="42"/>
    </row>
    <row r="297" ht="15.75" customHeight="1">
      <c r="D297" s="42"/>
      <c r="E297" s="42"/>
    </row>
    <row r="298" ht="15.75" customHeight="1">
      <c r="D298" s="42"/>
      <c r="E298" s="42"/>
    </row>
    <row r="299" ht="15.75" customHeight="1">
      <c r="D299" s="42"/>
      <c r="E299" s="42"/>
    </row>
    <row r="300" ht="15.75" customHeight="1">
      <c r="D300" s="42"/>
      <c r="E300" s="42"/>
    </row>
    <row r="301" ht="15.75" customHeight="1">
      <c r="D301" s="42"/>
      <c r="E301" s="42"/>
    </row>
    <row r="302" ht="15.75" customHeight="1">
      <c r="D302" s="42"/>
      <c r="E302" s="42"/>
    </row>
    <row r="303" ht="15.75" customHeight="1">
      <c r="D303" s="42"/>
      <c r="E303" s="42"/>
    </row>
    <row r="304" ht="15.75" customHeight="1">
      <c r="D304" s="42"/>
      <c r="E304" s="42"/>
    </row>
    <row r="305" ht="15.75" customHeight="1">
      <c r="D305" s="42"/>
      <c r="E305" s="42"/>
    </row>
    <row r="306" ht="15.75" customHeight="1">
      <c r="D306" s="42"/>
      <c r="E306" s="42"/>
    </row>
    <row r="307" ht="15.75" customHeight="1">
      <c r="D307" s="42"/>
      <c r="E307" s="42"/>
    </row>
    <row r="308" ht="15.75" customHeight="1">
      <c r="D308" s="42"/>
      <c r="E308" s="42"/>
    </row>
    <row r="309" ht="15.75" customHeight="1">
      <c r="D309" s="42"/>
      <c r="E309" s="42"/>
    </row>
    <row r="310" ht="15.75" customHeight="1">
      <c r="D310" s="42"/>
      <c r="E310" s="42"/>
    </row>
    <row r="311" ht="15.75" customHeight="1">
      <c r="D311" s="42"/>
      <c r="E311" s="42"/>
    </row>
    <row r="312" ht="15.75" customHeight="1">
      <c r="D312" s="42"/>
      <c r="E312" s="42"/>
    </row>
    <row r="313" ht="15.75" customHeight="1">
      <c r="D313" s="42"/>
      <c r="E313" s="42"/>
    </row>
    <row r="314" ht="15.75" customHeight="1">
      <c r="D314" s="42"/>
      <c r="E314" s="42"/>
    </row>
    <row r="315" ht="15.75" customHeight="1">
      <c r="D315" s="42"/>
      <c r="E315" s="42"/>
    </row>
    <row r="316" ht="15.75" customHeight="1">
      <c r="D316" s="42"/>
      <c r="E316" s="42"/>
    </row>
    <row r="317" ht="15.75" customHeight="1">
      <c r="D317" s="42"/>
      <c r="E317" s="42"/>
    </row>
    <row r="318" ht="15.75" customHeight="1">
      <c r="D318" s="42"/>
      <c r="E318" s="42"/>
    </row>
    <row r="319" ht="15.75" customHeight="1">
      <c r="D319" s="42"/>
      <c r="E319" s="42"/>
    </row>
    <row r="320" ht="15.75" customHeight="1">
      <c r="D320" s="42"/>
      <c r="E320" s="42"/>
    </row>
    <row r="321" ht="15.75" customHeight="1">
      <c r="D321" s="42"/>
      <c r="E321" s="42"/>
    </row>
    <row r="322" ht="15.75" customHeight="1">
      <c r="D322" s="42"/>
      <c r="E322" s="42"/>
    </row>
    <row r="323" ht="15.75" customHeight="1">
      <c r="D323" s="42"/>
      <c r="E323" s="42"/>
    </row>
    <row r="324" ht="15.75" customHeight="1">
      <c r="D324" s="42"/>
      <c r="E324" s="42"/>
    </row>
    <row r="325" ht="15.75" customHeight="1">
      <c r="D325" s="42"/>
      <c r="E325" s="42"/>
    </row>
    <row r="326" ht="15.75" customHeight="1">
      <c r="D326" s="42"/>
      <c r="E326" s="42"/>
    </row>
    <row r="327" ht="15.75" customHeight="1">
      <c r="D327" s="42"/>
      <c r="E327" s="42"/>
    </row>
    <row r="328" ht="15.75" customHeight="1">
      <c r="D328" s="42"/>
      <c r="E328" s="42"/>
    </row>
    <row r="329" ht="15.75" customHeight="1">
      <c r="D329" s="42"/>
      <c r="E329" s="42"/>
    </row>
    <row r="330" ht="15.75" customHeight="1">
      <c r="D330" s="42"/>
      <c r="E330" s="42"/>
    </row>
    <row r="331" ht="15.75" customHeight="1">
      <c r="D331" s="42"/>
      <c r="E331" s="42"/>
    </row>
    <row r="332" ht="15.75" customHeight="1">
      <c r="D332" s="42"/>
      <c r="E332" s="42"/>
    </row>
    <row r="333" ht="15.75" customHeight="1">
      <c r="D333" s="42"/>
      <c r="E333" s="42"/>
    </row>
    <row r="334" ht="15.75" customHeight="1">
      <c r="D334" s="42"/>
      <c r="E334" s="42"/>
    </row>
    <row r="335" ht="15.75" customHeight="1">
      <c r="D335" s="42"/>
      <c r="E335" s="42"/>
    </row>
    <row r="336" ht="15.75" customHeight="1">
      <c r="D336" s="42"/>
      <c r="E336" s="42"/>
    </row>
    <row r="337" ht="15.75" customHeight="1">
      <c r="D337" s="42"/>
      <c r="E337" s="42"/>
    </row>
    <row r="338" ht="15.75" customHeight="1">
      <c r="D338" s="42"/>
      <c r="E338" s="42"/>
    </row>
    <row r="339" ht="15.75" customHeight="1">
      <c r="D339" s="42"/>
      <c r="E339" s="42"/>
    </row>
    <row r="340" ht="15.75" customHeight="1">
      <c r="D340" s="42"/>
      <c r="E340" s="42"/>
    </row>
    <row r="341" ht="15.75" customHeight="1">
      <c r="D341" s="42"/>
      <c r="E341" s="42"/>
    </row>
    <row r="342" ht="15.75" customHeight="1">
      <c r="D342" s="42"/>
      <c r="E342" s="42"/>
    </row>
    <row r="343" ht="15.75" customHeight="1">
      <c r="D343" s="42"/>
      <c r="E343" s="42"/>
    </row>
    <row r="344" ht="15.75" customHeight="1">
      <c r="D344" s="42"/>
      <c r="E344" s="42"/>
    </row>
    <row r="345" ht="15.75" customHeight="1">
      <c r="D345" s="42"/>
      <c r="E345" s="42"/>
    </row>
    <row r="346" ht="15.75" customHeight="1">
      <c r="D346" s="42"/>
      <c r="E346" s="42"/>
    </row>
    <row r="347" ht="15.75" customHeight="1">
      <c r="D347" s="42"/>
      <c r="E347" s="42"/>
    </row>
    <row r="348" ht="15.75" customHeight="1">
      <c r="D348" s="42"/>
      <c r="E348" s="42"/>
    </row>
    <row r="349" ht="15.75" customHeight="1">
      <c r="D349" s="42"/>
      <c r="E349" s="42"/>
    </row>
    <row r="350" ht="15.75" customHeight="1">
      <c r="D350" s="42"/>
      <c r="E350" s="42"/>
    </row>
    <row r="351" ht="15.75" customHeight="1">
      <c r="D351" s="42"/>
      <c r="E351" s="42"/>
    </row>
    <row r="352" ht="15.75" customHeight="1">
      <c r="D352" s="42"/>
      <c r="E352" s="42"/>
    </row>
    <row r="353" ht="15.75" customHeight="1">
      <c r="D353" s="42"/>
      <c r="E353" s="42"/>
    </row>
    <row r="354" ht="15.75" customHeight="1">
      <c r="D354" s="42"/>
      <c r="E354" s="42"/>
    </row>
    <row r="355" ht="15.75" customHeight="1">
      <c r="D355" s="42"/>
      <c r="E355" s="42"/>
    </row>
    <row r="356" ht="15.75" customHeight="1">
      <c r="D356" s="42"/>
      <c r="E356" s="42"/>
    </row>
    <row r="357" ht="15.75" customHeight="1">
      <c r="D357" s="42"/>
      <c r="E357" s="42"/>
    </row>
    <row r="358" ht="15.75" customHeight="1">
      <c r="D358" s="42"/>
      <c r="E358" s="42"/>
    </row>
    <row r="359" ht="15.75" customHeight="1">
      <c r="D359" s="42"/>
      <c r="E359" s="42"/>
    </row>
    <row r="360" ht="15.75" customHeight="1">
      <c r="D360" s="42"/>
      <c r="E360" s="42"/>
    </row>
    <row r="361" ht="15.75" customHeight="1">
      <c r="D361" s="42"/>
      <c r="E361" s="42"/>
    </row>
    <row r="362" ht="15.75" customHeight="1">
      <c r="D362" s="42"/>
      <c r="E362" s="42"/>
    </row>
    <row r="363" ht="15.75" customHeight="1">
      <c r="D363" s="42"/>
      <c r="E363" s="42"/>
    </row>
    <row r="364" ht="15.75" customHeight="1">
      <c r="D364" s="42"/>
      <c r="E364" s="42"/>
    </row>
    <row r="365" ht="15.75" customHeight="1">
      <c r="D365" s="42"/>
      <c r="E365" s="42"/>
    </row>
    <row r="366" ht="15.75" customHeight="1">
      <c r="D366" s="42"/>
      <c r="E366" s="42"/>
    </row>
    <row r="367" ht="15.75" customHeight="1">
      <c r="D367" s="42"/>
      <c r="E367" s="42"/>
    </row>
    <row r="368" ht="15.75" customHeight="1">
      <c r="D368" s="42"/>
      <c r="E368" s="42"/>
    </row>
    <row r="369" ht="15.75" customHeight="1">
      <c r="D369" s="42"/>
      <c r="E369" s="42"/>
    </row>
    <row r="370" ht="15.75" customHeight="1">
      <c r="D370" s="42"/>
      <c r="E370" s="42"/>
    </row>
    <row r="371" ht="15.75" customHeight="1">
      <c r="D371" s="42"/>
      <c r="E371" s="42"/>
    </row>
    <row r="372" ht="15.75" customHeight="1">
      <c r="D372" s="42"/>
      <c r="E372" s="42"/>
    </row>
    <row r="373" ht="15.75" customHeight="1">
      <c r="D373" s="42"/>
      <c r="E373" s="42"/>
    </row>
    <row r="374" ht="15.75" customHeight="1">
      <c r="D374" s="42"/>
      <c r="E374" s="42"/>
    </row>
    <row r="375" ht="15.75" customHeight="1">
      <c r="D375" s="42"/>
      <c r="E375" s="42"/>
    </row>
    <row r="376" ht="15.75" customHeight="1">
      <c r="D376" s="42"/>
      <c r="E376" s="42"/>
    </row>
    <row r="377" ht="15.75" customHeight="1">
      <c r="D377" s="42"/>
      <c r="E377" s="42"/>
    </row>
    <row r="378" ht="15.75" customHeight="1">
      <c r="D378" s="42"/>
      <c r="E378" s="42"/>
    </row>
    <row r="379" ht="15.75" customHeight="1">
      <c r="D379" s="42"/>
      <c r="E379" s="42"/>
    </row>
    <row r="380" ht="15.75" customHeight="1">
      <c r="D380" s="42"/>
      <c r="E380" s="42"/>
    </row>
    <row r="381" ht="15.75" customHeight="1">
      <c r="D381" s="42"/>
      <c r="E381" s="42"/>
    </row>
    <row r="382" ht="15.75" customHeight="1">
      <c r="D382" s="42"/>
      <c r="E382" s="42"/>
    </row>
    <row r="383" ht="15.75" customHeight="1">
      <c r="D383" s="42"/>
      <c r="E383" s="42"/>
    </row>
    <row r="384" ht="15.75" customHeight="1">
      <c r="D384" s="42"/>
      <c r="E384" s="42"/>
    </row>
    <row r="385" ht="15.75" customHeight="1">
      <c r="D385" s="42"/>
      <c r="E385" s="42"/>
    </row>
    <row r="386" ht="15.75" customHeight="1">
      <c r="D386" s="42"/>
      <c r="E386" s="42"/>
    </row>
    <row r="387" ht="15.75" customHeight="1">
      <c r="D387" s="42"/>
      <c r="E387" s="42"/>
    </row>
    <row r="388" ht="15.75" customHeight="1">
      <c r="D388" s="42"/>
      <c r="E388" s="42"/>
    </row>
    <row r="389" ht="15.75" customHeight="1">
      <c r="D389" s="42"/>
      <c r="E389" s="42"/>
    </row>
    <row r="390" ht="15.75" customHeight="1">
      <c r="D390" s="42"/>
      <c r="E390" s="42"/>
    </row>
    <row r="391" ht="15.75" customHeight="1">
      <c r="D391" s="42"/>
      <c r="E391" s="42"/>
    </row>
    <row r="392" ht="15.75" customHeight="1">
      <c r="D392" s="42"/>
      <c r="E392" s="42"/>
    </row>
    <row r="393" ht="15.75" customHeight="1">
      <c r="D393" s="42"/>
      <c r="E393" s="42"/>
    </row>
    <row r="394" ht="15.75" customHeight="1">
      <c r="D394" s="42"/>
      <c r="E394" s="42"/>
    </row>
    <row r="395" ht="15.75" customHeight="1">
      <c r="D395" s="42"/>
      <c r="E395" s="42"/>
    </row>
    <row r="396" ht="15.75" customHeight="1">
      <c r="D396" s="42"/>
      <c r="E396" s="42"/>
    </row>
    <row r="397" ht="15.75" customHeight="1">
      <c r="D397" s="42"/>
      <c r="E397" s="42"/>
    </row>
    <row r="398" ht="15.75" customHeight="1">
      <c r="D398" s="42"/>
      <c r="E398" s="42"/>
    </row>
    <row r="399" ht="15.75" customHeight="1">
      <c r="D399" s="42"/>
      <c r="E399" s="42"/>
    </row>
    <row r="400" ht="15.75" customHeight="1">
      <c r="D400" s="42"/>
      <c r="E400" s="42"/>
    </row>
    <row r="401" ht="15.75" customHeight="1">
      <c r="D401" s="42"/>
      <c r="E401" s="42"/>
    </row>
    <row r="402" ht="15.75" customHeight="1">
      <c r="D402" s="42"/>
      <c r="E402" s="42"/>
    </row>
    <row r="403" ht="15.75" customHeight="1">
      <c r="D403" s="42"/>
      <c r="E403" s="42"/>
    </row>
    <row r="404" ht="15.75" customHeight="1">
      <c r="D404" s="42"/>
      <c r="E404" s="42"/>
    </row>
    <row r="405" ht="15.75" customHeight="1">
      <c r="D405" s="42"/>
      <c r="E405" s="42"/>
    </row>
    <row r="406" ht="15.75" customHeight="1">
      <c r="D406" s="42"/>
      <c r="E406" s="42"/>
    </row>
    <row r="407" ht="15.75" customHeight="1">
      <c r="D407" s="42"/>
      <c r="E407" s="42"/>
    </row>
    <row r="408" ht="15.75" customHeight="1">
      <c r="D408" s="42"/>
      <c r="E408" s="42"/>
    </row>
    <row r="409" ht="15.75" customHeight="1">
      <c r="D409" s="42"/>
      <c r="E409" s="42"/>
    </row>
    <row r="410" ht="15.75" customHeight="1">
      <c r="D410" s="42"/>
      <c r="E410" s="42"/>
    </row>
    <row r="411" ht="15.75" customHeight="1">
      <c r="D411" s="42"/>
      <c r="E411" s="42"/>
    </row>
    <row r="412" ht="15.75" customHeight="1">
      <c r="D412" s="42"/>
      <c r="E412" s="42"/>
    </row>
    <row r="413" ht="15.75" customHeight="1">
      <c r="D413" s="42"/>
      <c r="E413" s="42"/>
    </row>
    <row r="414" ht="15.75" customHeight="1">
      <c r="D414" s="42"/>
      <c r="E414" s="42"/>
    </row>
    <row r="415" ht="15.75" customHeight="1">
      <c r="D415" s="42"/>
      <c r="E415" s="42"/>
    </row>
    <row r="416" ht="15.75" customHeight="1">
      <c r="D416" s="42"/>
      <c r="E416" s="42"/>
    </row>
    <row r="417" ht="15.75" customHeight="1">
      <c r="D417" s="42"/>
      <c r="E417" s="42"/>
    </row>
    <row r="418" ht="15.75" customHeight="1">
      <c r="D418" s="42"/>
      <c r="E418" s="42"/>
    </row>
    <row r="419" ht="15.75" customHeight="1">
      <c r="D419" s="42"/>
      <c r="E419" s="42"/>
    </row>
    <row r="420" ht="15.75" customHeight="1">
      <c r="D420" s="42"/>
      <c r="E420" s="42"/>
    </row>
    <row r="421" ht="15.75" customHeight="1">
      <c r="D421" s="42"/>
      <c r="E421" s="42"/>
    </row>
    <row r="422" ht="15.75" customHeight="1">
      <c r="D422" s="42"/>
      <c r="E422" s="42"/>
    </row>
    <row r="423" ht="15.75" customHeight="1">
      <c r="D423" s="42"/>
      <c r="E423" s="42"/>
    </row>
    <row r="424" ht="15.75" customHeight="1">
      <c r="D424" s="42"/>
      <c r="E424" s="42"/>
    </row>
    <row r="425" ht="15.75" customHeight="1">
      <c r="D425" s="42"/>
      <c r="E425" s="42"/>
    </row>
    <row r="426" ht="15.75" customHeight="1">
      <c r="D426" s="42"/>
      <c r="E426" s="42"/>
    </row>
    <row r="427" ht="15.75" customHeight="1">
      <c r="D427" s="42"/>
      <c r="E427" s="42"/>
    </row>
    <row r="428" ht="15.75" customHeight="1">
      <c r="D428" s="42"/>
      <c r="E428" s="42"/>
    </row>
    <row r="429" ht="15.75" customHeight="1">
      <c r="D429" s="42"/>
      <c r="E429" s="42"/>
    </row>
    <row r="430" ht="15.75" customHeight="1">
      <c r="D430" s="42"/>
      <c r="E430" s="42"/>
    </row>
    <row r="431" ht="15.75" customHeight="1">
      <c r="D431" s="42"/>
      <c r="E431" s="42"/>
    </row>
    <row r="432" ht="15.75" customHeight="1">
      <c r="D432" s="42"/>
      <c r="E432" s="42"/>
    </row>
    <row r="433" ht="15.75" customHeight="1">
      <c r="D433" s="42"/>
      <c r="E433" s="42"/>
    </row>
    <row r="434" ht="15.75" customHeight="1">
      <c r="D434" s="42"/>
      <c r="E434" s="42"/>
    </row>
    <row r="435" ht="15.75" customHeight="1">
      <c r="D435" s="42"/>
      <c r="E435" s="42"/>
    </row>
    <row r="436" ht="15.75" customHeight="1">
      <c r="D436" s="42"/>
      <c r="E436" s="42"/>
    </row>
    <row r="437" ht="15.75" customHeight="1">
      <c r="D437" s="42"/>
      <c r="E437" s="42"/>
    </row>
    <row r="438" ht="15.75" customHeight="1">
      <c r="D438" s="42"/>
      <c r="E438" s="42"/>
    </row>
    <row r="439" ht="15.75" customHeight="1">
      <c r="D439" s="42"/>
      <c r="E439" s="42"/>
    </row>
    <row r="440" ht="15.75" customHeight="1">
      <c r="D440" s="42"/>
      <c r="E440" s="42"/>
    </row>
    <row r="441" ht="15.75" customHeight="1">
      <c r="D441" s="42"/>
      <c r="E441" s="42"/>
    </row>
    <row r="442" ht="15.75" customHeight="1">
      <c r="D442" s="42"/>
      <c r="E442" s="42"/>
    </row>
    <row r="443" ht="15.75" customHeight="1">
      <c r="D443" s="42"/>
      <c r="E443" s="42"/>
    </row>
    <row r="444" ht="15.75" customHeight="1">
      <c r="D444" s="42"/>
      <c r="E444" s="42"/>
    </row>
    <row r="445" ht="15.75" customHeight="1">
      <c r="D445" s="42"/>
      <c r="E445" s="42"/>
    </row>
    <row r="446" ht="15.75" customHeight="1">
      <c r="D446" s="42"/>
      <c r="E446" s="42"/>
    </row>
    <row r="447" ht="15.75" customHeight="1">
      <c r="D447" s="42"/>
      <c r="E447" s="42"/>
    </row>
    <row r="448" ht="15.75" customHeight="1">
      <c r="D448" s="42"/>
      <c r="E448" s="42"/>
    </row>
    <row r="449" ht="15.75" customHeight="1">
      <c r="D449" s="42"/>
      <c r="E449" s="42"/>
    </row>
    <row r="450" ht="15.75" customHeight="1">
      <c r="D450" s="42"/>
      <c r="E450" s="42"/>
    </row>
    <row r="451" ht="15.75" customHeight="1">
      <c r="D451" s="42"/>
      <c r="E451" s="42"/>
    </row>
    <row r="452" ht="15.75" customHeight="1">
      <c r="D452" s="42"/>
      <c r="E452" s="42"/>
    </row>
    <row r="453" ht="15.75" customHeight="1">
      <c r="D453" s="42"/>
      <c r="E453" s="42"/>
    </row>
    <row r="454" ht="15.75" customHeight="1">
      <c r="D454" s="42"/>
      <c r="E454" s="42"/>
    </row>
    <row r="455" ht="15.75" customHeight="1">
      <c r="D455" s="42"/>
      <c r="E455" s="42"/>
    </row>
    <row r="456" ht="15.75" customHeight="1">
      <c r="D456" s="42"/>
      <c r="E456" s="42"/>
    </row>
    <row r="457" ht="15.75" customHeight="1">
      <c r="D457" s="42"/>
      <c r="E457" s="42"/>
    </row>
    <row r="458" ht="15.75" customHeight="1">
      <c r="D458" s="42"/>
      <c r="E458" s="42"/>
    </row>
    <row r="459" ht="15.75" customHeight="1">
      <c r="D459" s="42"/>
      <c r="E459" s="42"/>
    </row>
    <row r="460" ht="15.75" customHeight="1">
      <c r="D460" s="42"/>
      <c r="E460" s="42"/>
    </row>
    <row r="461" ht="15.75" customHeight="1">
      <c r="D461" s="42"/>
      <c r="E461" s="42"/>
    </row>
    <row r="462" ht="15.75" customHeight="1">
      <c r="D462" s="42"/>
      <c r="E462" s="42"/>
    </row>
    <row r="463" ht="15.75" customHeight="1">
      <c r="D463" s="42"/>
      <c r="E463" s="42"/>
    </row>
    <row r="464" ht="15.75" customHeight="1">
      <c r="D464" s="42"/>
      <c r="E464" s="42"/>
    </row>
    <row r="465" ht="15.75" customHeight="1">
      <c r="D465" s="42"/>
      <c r="E465" s="42"/>
    </row>
    <row r="466" ht="15.75" customHeight="1">
      <c r="D466" s="42"/>
      <c r="E466" s="42"/>
    </row>
    <row r="467" ht="15.75" customHeight="1">
      <c r="D467" s="42"/>
      <c r="E467" s="42"/>
    </row>
    <row r="468" ht="15.75" customHeight="1">
      <c r="D468" s="42"/>
      <c r="E468" s="42"/>
    </row>
    <row r="469" ht="15.75" customHeight="1">
      <c r="D469" s="42"/>
      <c r="E469" s="42"/>
    </row>
    <row r="470" ht="15.75" customHeight="1">
      <c r="D470" s="42"/>
      <c r="E470" s="42"/>
    </row>
    <row r="471" ht="15.75" customHeight="1">
      <c r="D471" s="42"/>
      <c r="E471" s="42"/>
    </row>
    <row r="472" ht="15.75" customHeight="1">
      <c r="D472" s="42"/>
      <c r="E472" s="42"/>
    </row>
    <row r="473" ht="15.75" customHeight="1">
      <c r="D473" s="42"/>
      <c r="E473" s="42"/>
    </row>
    <row r="474" ht="15.75" customHeight="1">
      <c r="D474" s="42"/>
      <c r="E474" s="42"/>
    </row>
    <row r="475" ht="15.75" customHeight="1">
      <c r="D475" s="42"/>
      <c r="E475" s="42"/>
    </row>
    <row r="476" ht="15.75" customHeight="1">
      <c r="D476" s="42"/>
      <c r="E476" s="42"/>
    </row>
    <row r="477" ht="15.75" customHeight="1">
      <c r="D477" s="42"/>
      <c r="E477" s="42"/>
    </row>
    <row r="478" ht="15.75" customHeight="1">
      <c r="D478" s="42"/>
      <c r="E478" s="42"/>
    </row>
    <row r="479" ht="15.75" customHeight="1">
      <c r="D479" s="42"/>
      <c r="E479" s="42"/>
    </row>
    <row r="480" ht="15.75" customHeight="1">
      <c r="D480" s="42"/>
      <c r="E480" s="42"/>
    </row>
    <row r="481" ht="15.75" customHeight="1">
      <c r="D481" s="42"/>
      <c r="E481" s="42"/>
    </row>
    <row r="482" ht="15.75" customHeight="1">
      <c r="D482" s="42"/>
      <c r="E482" s="42"/>
    </row>
    <row r="483" ht="15.75" customHeight="1">
      <c r="D483" s="42"/>
      <c r="E483" s="42"/>
    </row>
    <row r="484" ht="15.75" customHeight="1">
      <c r="D484" s="42"/>
      <c r="E484" s="42"/>
    </row>
    <row r="485" ht="15.75" customHeight="1">
      <c r="D485" s="42"/>
      <c r="E485" s="42"/>
    </row>
    <row r="486" ht="15.75" customHeight="1">
      <c r="D486" s="42"/>
      <c r="E486" s="42"/>
    </row>
    <row r="487" ht="15.75" customHeight="1">
      <c r="D487" s="42"/>
      <c r="E487" s="42"/>
    </row>
    <row r="488" ht="15.75" customHeight="1">
      <c r="D488" s="42"/>
      <c r="E488" s="42"/>
    </row>
    <row r="489" ht="15.75" customHeight="1">
      <c r="D489" s="42"/>
      <c r="E489" s="42"/>
    </row>
    <row r="490" ht="15.75" customHeight="1">
      <c r="D490" s="42"/>
      <c r="E490" s="42"/>
    </row>
    <row r="491" ht="15.75" customHeight="1">
      <c r="D491" s="42"/>
      <c r="E491" s="42"/>
    </row>
    <row r="492" ht="15.75" customHeight="1">
      <c r="D492" s="42"/>
      <c r="E492" s="42"/>
    </row>
    <row r="493" ht="15.75" customHeight="1">
      <c r="D493" s="42"/>
      <c r="E493" s="42"/>
    </row>
    <row r="494" ht="15.75" customHeight="1">
      <c r="D494" s="42"/>
      <c r="E494" s="42"/>
    </row>
    <row r="495" ht="15.75" customHeight="1">
      <c r="D495" s="42"/>
      <c r="E495" s="42"/>
    </row>
    <row r="496" ht="15.75" customHeight="1">
      <c r="D496" s="42"/>
      <c r="E496" s="42"/>
    </row>
    <row r="497" ht="15.75" customHeight="1">
      <c r="D497" s="42"/>
      <c r="E497" s="42"/>
    </row>
    <row r="498" ht="15.75" customHeight="1">
      <c r="D498" s="42"/>
      <c r="E498" s="42"/>
    </row>
    <row r="499" ht="15.75" customHeight="1">
      <c r="D499" s="42"/>
      <c r="E499" s="42"/>
    </row>
    <row r="500" ht="15.75" customHeight="1">
      <c r="D500" s="42"/>
      <c r="E500" s="42"/>
    </row>
    <row r="501" ht="15.75" customHeight="1">
      <c r="D501" s="42"/>
      <c r="E501" s="42"/>
    </row>
    <row r="502" ht="15.75" customHeight="1">
      <c r="D502" s="42"/>
      <c r="E502" s="42"/>
    </row>
    <row r="503" ht="15.75" customHeight="1">
      <c r="D503" s="42"/>
      <c r="E503" s="42"/>
    </row>
    <row r="504" ht="15.75" customHeight="1">
      <c r="D504" s="42"/>
      <c r="E504" s="42"/>
    </row>
    <row r="505" ht="15.75" customHeight="1">
      <c r="D505" s="42"/>
      <c r="E505" s="42"/>
    </row>
    <row r="506" ht="15.75" customHeight="1">
      <c r="D506" s="42"/>
      <c r="E506" s="42"/>
    </row>
    <row r="507" ht="15.75" customHeight="1">
      <c r="D507" s="42"/>
      <c r="E507" s="42"/>
    </row>
    <row r="508" ht="15.75" customHeight="1">
      <c r="D508" s="42"/>
      <c r="E508" s="42"/>
    </row>
    <row r="509" ht="15.75" customHeight="1">
      <c r="D509" s="42"/>
      <c r="E509" s="42"/>
    </row>
    <row r="510" ht="15.75" customHeight="1">
      <c r="D510" s="42"/>
      <c r="E510" s="42"/>
    </row>
    <row r="511" ht="15.75" customHeight="1">
      <c r="D511" s="42"/>
      <c r="E511" s="42"/>
    </row>
    <row r="512" ht="15.75" customHeight="1">
      <c r="D512" s="42"/>
      <c r="E512" s="42"/>
    </row>
    <row r="513" ht="15.75" customHeight="1">
      <c r="D513" s="42"/>
      <c r="E513" s="42"/>
    </row>
    <row r="514" ht="15.75" customHeight="1">
      <c r="D514" s="42"/>
      <c r="E514" s="42"/>
    </row>
    <row r="515" ht="15.75" customHeight="1">
      <c r="D515" s="42"/>
      <c r="E515" s="42"/>
    </row>
    <row r="516" ht="15.75" customHeight="1">
      <c r="D516" s="42"/>
      <c r="E516" s="42"/>
    </row>
    <row r="517" ht="15.75" customHeight="1">
      <c r="D517" s="42"/>
      <c r="E517" s="42"/>
    </row>
    <row r="518" ht="15.75" customHeight="1">
      <c r="D518" s="42"/>
      <c r="E518" s="42"/>
    </row>
    <row r="519" ht="15.75" customHeight="1">
      <c r="D519" s="42"/>
      <c r="E519" s="42"/>
    </row>
    <row r="520" ht="15.75" customHeight="1">
      <c r="D520" s="42"/>
      <c r="E520" s="42"/>
    </row>
    <row r="521" ht="15.75" customHeight="1">
      <c r="D521" s="42"/>
      <c r="E521" s="42"/>
    </row>
    <row r="522" ht="15.75" customHeight="1">
      <c r="D522" s="42"/>
      <c r="E522" s="42"/>
    </row>
    <row r="523" ht="15.75" customHeight="1">
      <c r="D523" s="42"/>
      <c r="E523" s="42"/>
    </row>
    <row r="524" ht="15.75" customHeight="1">
      <c r="D524" s="42"/>
      <c r="E524" s="42"/>
    </row>
    <row r="525" ht="15.75" customHeight="1">
      <c r="D525" s="42"/>
      <c r="E525" s="42"/>
    </row>
    <row r="526" ht="15.75" customHeight="1">
      <c r="D526" s="42"/>
      <c r="E526" s="42"/>
    </row>
    <row r="527" ht="15.75" customHeight="1">
      <c r="D527" s="42"/>
      <c r="E527" s="42"/>
    </row>
    <row r="528" ht="15.75" customHeight="1">
      <c r="D528" s="42"/>
      <c r="E528" s="42"/>
    </row>
    <row r="529" ht="15.75" customHeight="1">
      <c r="D529" s="42"/>
      <c r="E529" s="42"/>
    </row>
    <row r="530" ht="15.75" customHeight="1">
      <c r="D530" s="42"/>
      <c r="E530" s="42"/>
    </row>
    <row r="531" ht="15.75" customHeight="1">
      <c r="D531" s="42"/>
      <c r="E531" s="42"/>
    </row>
    <row r="532" ht="15.75" customHeight="1">
      <c r="D532" s="42"/>
      <c r="E532" s="42"/>
    </row>
    <row r="533" ht="15.75" customHeight="1">
      <c r="D533" s="42"/>
      <c r="E533" s="42"/>
    </row>
    <row r="534" ht="15.75" customHeight="1">
      <c r="D534" s="42"/>
      <c r="E534" s="42"/>
    </row>
    <row r="535" ht="15.75" customHeight="1">
      <c r="D535" s="42"/>
      <c r="E535" s="42"/>
    </row>
    <row r="536" ht="15.75" customHeight="1">
      <c r="D536" s="42"/>
      <c r="E536" s="42"/>
    </row>
    <row r="537" ht="15.75" customHeight="1">
      <c r="D537" s="42"/>
      <c r="E537" s="42"/>
    </row>
    <row r="538" ht="15.75" customHeight="1">
      <c r="D538" s="42"/>
      <c r="E538" s="42"/>
    </row>
    <row r="539" ht="15.75" customHeight="1">
      <c r="D539" s="42"/>
      <c r="E539" s="42"/>
    </row>
    <row r="540" ht="15.75" customHeight="1">
      <c r="D540" s="42"/>
      <c r="E540" s="42"/>
    </row>
    <row r="541" ht="15.75" customHeight="1">
      <c r="D541" s="42"/>
      <c r="E541" s="42"/>
    </row>
    <row r="542" ht="15.75" customHeight="1">
      <c r="D542" s="42"/>
      <c r="E542" s="42"/>
    </row>
    <row r="543" ht="15.75" customHeight="1">
      <c r="D543" s="42"/>
      <c r="E543" s="42"/>
    </row>
    <row r="544" ht="15.75" customHeight="1">
      <c r="D544" s="42"/>
      <c r="E544" s="42"/>
    </row>
    <row r="545" ht="15.75" customHeight="1">
      <c r="D545" s="42"/>
      <c r="E545" s="42"/>
    </row>
    <row r="546" ht="15.75" customHeight="1">
      <c r="D546" s="42"/>
      <c r="E546" s="42"/>
    </row>
    <row r="547" ht="15.75" customHeight="1">
      <c r="D547" s="42"/>
      <c r="E547" s="42"/>
    </row>
    <row r="548" ht="15.75" customHeight="1">
      <c r="D548" s="42"/>
      <c r="E548" s="42"/>
    </row>
    <row r="549" ht="15.75" customHeight="1">
      <c r="D549" s="42"/>
      <c r="E549" s="42"/>
    </row>
    <row r="550" ht="15.75" customHeight="1">
      <c r="D550" s="42"/>
      <c r="E550" s="42"/>
    </row>
    <row r="551" ht="15.75" customHeight="1">
      <c r="D551" s="42"/>
      <c r="E551" s="42"/>
    </row>
    <row r="552" ht="15.75" customHeight="1">
      <c r="D552" s="42"/>
      <c r="E552" s="42"/>
    </row>
    <row r="553" ht="15.75" customHeight="1">
      <c r="D553" s="42"/>
      <c r="E553" s="42"/>
    </row>
    <row r="554" ht="15.75" customHeight="1">
      <c r="D554" s="42"/>
      <c r="E554" s="42"/>
    </row>
    <row r="555" ht="15.75" customHeight="1">
      <c r="D555" s="42"/>
      <c r="E555" s="42"/>
    </row>
    <row r="556" ht="15.75" customHeight="1">
      <c r="D556" s="42"/>
      <c r="E556" s="42"/>
    </row>
    <row r="557" ht="15.75" customHeight="1">
      <c r="D557" s="42"/>
      <c r="E557" s="42"/>
    </row>
    <row r="558" ht="15.75" customHeight="1">
      <c r="D558" s="42"/>
      <c r="E558" s="42"/>
    </row>
    <row r="559" ht="15.75" customHeight="1">
      <c r="D559" s="42"/>
      <c r="E559" s="42"/>
    </row>
    <row r="560" ht="15.75" customHeight="1">
      <c r="D560" s="42"/>
      <c r="E560" s="42"/>
    </row>
    <row r="561" ht="15.75" customHeight="1">
      <c r="D561" s="42"/>
      <c r="E561" s="42"/>
    </row>
    <row r="562" ht="15.75" customHeight="1">
      <c r="D562" s="42"/>
      <c r="E562" s="42"/>
    </row>
    <row r="563" ht="15.75" customHeight="1">
      <c r="D563" s="42"/>
      <c r="E563" s="42"/>
    </row>
    <row r="564" ht="15.75" customHeight="1">
      <c r="D564" s="42"/>
      <c r="E564" s="42"/>
    </row>
    <row r="565" ht="15.75" customHeight="1">
      <c r="D565" s="42"/>
      <c r="E565" s="42"/>
    </row>
    <row r="566" ht="15.75" customHeight="1">
      <c r="D566" s="42"/>
      <c r="E566" s="42"/>
    </row>
    <row r="567" ht="15.75" customHeight="1">
      <c r="D567" s="42"/>
      <c r="E567" s="42"/>
    </row>
    <row r="568" ht="15.75" customHeight="1">
      <c r="D568" s="42"/>
      <c r="E568" s="42"/>
    </row>
    <row r="569" ht="15.75" customHeight="1">
      <c r="D569" s="42"/>
      <c r="E569" s="42"/>
    </row>
    <row r="570" ht="15.75" customHeight="1">
      <c r="D570" s="42"/>
      <c r="E570" s="42"/>
    </row>
    <row r="571" ht="15.75" customHeight="1">
      <c r="D571" s="42"/>
      <c r="E571" s="42"/>
    </row>
    <row r="572" ht="15.75" customHeight="1">
      <c r="D572" s="42"/>
      <c r="E572" s="42"/>
    </row>
    <row r="573" ht="15.75" customHeight="1">
      <c r="D573" s="42"/>
      <c r="E573" s="42"/>
    </row>
    <row r="574" ht="15.75" customHeight="1">
      <c r="D574" s="42"/>
      <c r="E574" s="42"/>
    </row>
    <row r="575" ht="15.75" customHeight="1">
      <c r="D575" s="42"/>
      <c r="E575" s="42"/>
    </row>
    <row r="576" ht="15.75" customHeight="1">
      <c r="D576" s="42"/>
      <c r="E576" s="42"/>
    </row>
    <row r="577" ht="15.75" customHeight="1">
      <c r="D577" s="42"/>
      <c r="E577" s="42"/>
    </row>
    <row r="578" ht="15.75" customHeight="1">
      <c r="D578" s="42"/>
      <c r="E578" s="42"/>
    </row>
    <row r="579" ht="15.75" customHeight="1">
      <c r="D579" s="42"/>
      <c r="E579" s="42"/>
    </row>
    <row r="580" ht="15.75" customHeight="1">
      <c r="D580" s="42"/>
      <c r="E580" s="42"/>
    </row>
    <row r="581" ht="15.75" customHeight="1">
      <c r="D581" s="42"/>
      <c r="E581" s="42"/>
    </row>
    <row r="582" ht="15.75" customHeight="1">
      <c r="D582" s="42"/>
      <c r="E582" s="42"/>
    </row>
    <row r="583" ht="15.75" customHeight="1">
      <c r="D583" s="42"/>
      <c r="E583" s="42"/>
    </row>
    <row r="584" ht="15.75" customHeight="1">
      <c r="D584" s="42"/>
      <c r="E584" s="42"/>
    </row>
    <row r="585" ht="15.75" customHeight="1">
      <c r="D585" s="42"/>
      <c r="E585" s="42"/>
    </row>
    <row r="586" ht="15.75" customHeight="1">
      <c r="D586" s="42"/>
      <c r="E586" s="42"/>
    </row>
    <row r="587" ht="15.75" customHeight="1">
      <c r="D587" s="42"/>
      <c r="E587" s="42"/>
    </row>
    <row r="588" ht="15.75" customHeight="1">
      <c r="D588" s="42"/>
      <c r="E588" s="42"/>
    </row>
    <row r="589" ht="15.75" customHeight="1">
      <c r="D589" s="42"/>
      <c r="E589" s="42"/>
    </row>
    <row r="590" ht="15.75" customHeight="1">
      <c r="D590" s="42"/>
      <c r="E590" s="42"/>
    </row>
    <row r="591" ht="15.75" customHeight="1">
      <c r="D591" s="42"/>
      <c r="E591" s="42"/>
    </row>
    <row r="592" ht="15.75" customHeight="1">
      <c r="D592" s="42"/>
      <c r="E592" s="42"/>
    </row>
    <row r="593" ht="15.75" customHeight="1">
      <c r="D593" s="42"/>
      <c r="E593" s="42"/>
    </row>
    <row r="594" ht="15.75" customHeight="1">
      <c r="D594" s="42"/>
      <c r="E594" s="42"/>
    </row>
    <row r="595" ht="15.75" customHeight="1">
      <c r="D595" s="42"/>
      <c r="E595" s="42"/>
    </row>
    <row r="596" ht="15.75" customHeight="1">
      <c r="D596" s="42"/>
      <c r="E596" s="42"/>
    </row>
    <row r="597" ht="15.75" customHeight="1">
      <c r="D597" s="42"/>
      <c r="E597" s="42"/>
    </row>
    <row r="598" ht="15.75" customHeight="1">
      <c r="D598" s="42"/>
      <c r="E598" s="42"/>
    </row>
    <row r="599" ht="15.75" customHeight="1">
      <c r="D599" s="42"/>
      <c r="E599" s="42"/>
    </row>
    <row r="600" ht="15.75" customHeight="1">
      <c r="D600" s="42"/>
      <c r="E600" s="42"/>
    </row>
    <row r="601" ht="15.75" customHeight="1">
      <c r="D601" s="42"/>
      <c r="E601" s="42"/>
    </row>
    <row r="602" ht="15.75" customHeight="1">
      <c r="D602" s="42"/>
      <c r="E602" s="42"/>
    </row>
    <row r="603" ht="15.75" customHeight="1">
      <c r="D603" s="42"/>
      <c r="E603" s="42"/>
    </row>
    <row r="604" ht="15.75" customHeight="1">
      <c r="D604" s="42"/>
      <c r="E604" s="42"/>
    </row>
    <row r="605" ht="15.75" customHeight="1">
      <c r="D605" s="42"/>
      <c r="E605" s="42"/>
    </row>
    <row r="606" ht="15.75" customHeight="1">
      <c r="D606" s="42"/>
      <c r="E606" s="42"/>
    </row>
    <row r="607" ht="15.75" customHeight="1">
      <c r="D607" s="42"/>
      <c r="E607" s="42"/>
    </row>
    <row r="608" ht="15.75" customHeight="1">
      <c r="D608" s="42"/>
      <c r="E608" s="42"/>
    </row>
    <row r="609" ht="15.75" customHeight="1">
      <c r="D609" s="42"/>
      <c r="E609" s="42"/>
    </row>
    <row r="610" ht="15.75" customHeight="1">
      <c r="D610" s="42"/>
      <c r="E610" s="42"/>
    </row>
    <row r="611" ht="15.75" customHeight="1">
      <c r="D611" s="42"/>
      <c r="E611" s="42"/>
    </row>
    <row r="612" ht="15.75" customHeight="1">
      <c r="D612" s="42"/>
      <c r="E612" s="42"/>
    </row>
    <row r="613" ht="15.75" customHeight="1">
      <c r="D613" s="42"/>
      <c r="E613" s="42"/>
    </row>
    <row r="614" ht="15.75" customHeight="1">
      <c r="D614" s="42"/>
      <c r="E614" s="42"/>
    </row>
    <row r="615" ht="15.75" customHeight="1">
      <c r="D615" s="42"/>
      <c r="E615" s="42"/>
    </row>
    <row r="616" ht="15.75" customHeight="1">
      <c r="D616" s="42"/>
      <c r="E616" s="42"/>
    </row>
    <row r="617" ht="15.75" customHeight="1">
      <c r="D617" s="42"/>
      <c r="E617" s="42"/>
    </row>
    <row r="618" ht="15.75" customHeight="1">
      <c r="D618" s="42"/>
      <c r="E618" s="42"/>
    </row>
    <row r="619" ht="15.75" customHeight="1">
      <c r="D619" s="42"/>
      <c r="E619" s="42"/>
    </row>
    <row r="620" ht="15.75" customHeight="1">
      <c r="D620" s="42"/>
      <c r="E620" s="42"/>
    </row>
    <row r="621" ht="15.75" customHeight="1">
      <c r="D621" s="42"/>
      <c r="E621" s="42"/>
    </row>
    <row r="622" ht="15.75" customHeight="1">
      <c r="D622" s="42"/>
      <c r="E622" s="42"/>
    </row>
    <row r="623" ht="15.75" customHeight="1">
      <c r="D623" s="42"/>
      <c r="E623" s="42"/>
    </row>
    <row r="624" ht="15.75" customHeight="1">
      <c r="D624" s="42"/>
      <c r="E624" s="42"/>
    </row>
    <row r="625" ht="15.75" customHeight="1">
      <c r="D625" s="42"/>
      <c r="E625" s="42"/>
    </row>
    <row r="626" ht="15.75" customHeight="1">
      <c r="D626" s="42"/>
      <c r="E626" s="42"/>
    </row>
    <row r="627" ht="15.75" customHeight="1">
      <c r="D627" s="42"/>
      <c r="E627" s="42"/>
    </row>
    <row r="628" ht="15.75" customHeight="1">
      <c r="D628" s="42"/>
      <c r="E628" s="42"/>
    </row>
    <row r="629" ht="15.75" customHeight="1">
      <c r="D629" s="42"/>
      <c r="E629" s="42"/>
    </row>
    <row r="630" ht="15.75" customHeight="1">
      <c r="D630" s="42"/>
      <c r="E630" s="42"/>
    </row>
    <row r="631" ht="15.75" customHeight="1">
      <c r="D631" s="42"/>
      <c r="E631" s="42"/>
    </row>
    <row r="632" ht="15.75" customHeight="1">
      <c r="D632" s="42"/>
      <c r="E632" s="42"/>
    </row>
    <row r="633" ht="15.75" customHeight="1">
      <c r="D633" s="42"/>
      <c r="E633" s="42"/>
    </row>
    <row r="634" ht="15.75" customHeight="1">
      <c r="D634" s="42"/>
      <c r="E634" s="42"/>
    </row>
    <row r="635" ht="15.75" customHeight="1">
      <c r="D635" s="42"/>
      <c r="E635" s="42"/>
    </row>
    <row r="636" ht="15.75" customHeight="1">
      <c r="D636" s="42"/>
      <c r="E636" s="42"/>
    </row>
    <row r="637" ht="15.75" customHeight="1">
      <c r="D637" s="42"/>
      <c r="E637" s="42"/>
    </row>
    <row r="638" ht="15.75" customHeight="1">
      <c r="D638" s="42"/>
      <c r="E638" s="42"/>
    </row>
    <row r="639" ht="15.75" customHeight="1">
      <c r="D639" s="42"/>
      <c r="E639" s="42"/>
    </row>
    <row r="640" ht="15.75" customHeight="1">
      <c r="D640" s="42"/>
      <c r="E640" s="42"/>
    </row>
    <row r="641" ht="15.75" customHeight="1">
      <c r="D641" s="42"/>
      <c r="E641" s="42"/>
    </row>
    <row r="642" ht="15.75" customHeight="1">
      <c r="D642" s="42"/>
      <c r="E642" s="42"/>
    </row>
    <row r="643" ht="15.75" customHeight="1">
      <c r="D643" s="42"/>
      <c r="E643" s="42"/>
    </row>
    <row r="644" ht="15.75" customHeight="1">
      <c r="D644" s="42"/>
      <c r="E644" s="42"/>
    </row>
    <row r="645" ht="15.75" customHeight="1">
      <c r="D645" s="42"/>
      <c r="E645" s="42"/>
    </row>
    <row r="646" ht="15.75" customHeight="1">
      <c r="D646" s="42"/>
      <c r="E646" s="42"/>
    </row>
    <row r="647" ht="15.75" customHeight="1">
      <c r="D647" s="42"/>
      <c r="E647" s="42"/>
    </row>
    <row r="648" ht="15.75" customHeight="1">
      <c r="D648" s="42"/>
      <c r="E648" s="42"/>
    </row>
    <row r="649" ht="15.75" customHeight="1">
      <c r="D649" s="42"/>
      <c r="E649" s="42"/>
    </row>
    <row r="650" ht="15.75" customHeight="1">
      <c r="D650" s="42"/>
      <c r="E650" s="42"/>
    </row>
    <row r="651" ht="15.75" customHeight="1">
      <c r="D651" s="42"/>
      <c r="E651" s="42"/>
    </row>
    <row r="652" ht="15.75" customHeight="1">
      <c r="D652" s="42"/>
      <c r="E652" s="42"/>
    </row>
    <row r="653" ht="15.75" customHeight="1">
      <c r="D653" s="42"/>
      <c r="E653" s="42"/>
    </row>
    <row r="654" ht="15.75" customHeight="1">
      <c r="D654" s="42"/>
      <c r="E654" s="42"/>
    </row>
    <row r="655" ht="15.75" customHeight="1">
      <c r="D655" s="42"/>
      <c r="E655" s="42"/>
    </row>
    <row r="656" ht="15.75" customHeight="1">
      <c r="D656" s="42"/>
      <c r="E656" s="42"/>
    </row>
    <row r="657" ht="15.75" customHeight="1">
      <c r="D657" s="42"/>
      <c r="E657" s="42"/>
    </row>
    <row r="658" ht="15.75" customHeight="1">
      <c r="D658" s="42"/>
      <c r="E658" s="42"/>
    </row>
    <row r="659" ht="15.75" customHeight="1">
      <c r="D659" s="42"/>
      <c r="E659" s="42"/>
    </row>
    <row r="660" ht="15.75" customHeight="1">
      <c r="D660" s="42"/>
      <c r="E660" s="42"/>
    </row>
    <row r="661" ht="15.75" customHeight="1">
      <c r="D661" s="42"/>
      <c r="E661" s="42"/>
    </row>
    <row r="662" ht="15.75" customHeight="1">
      <c r="D662" s="42"/>
      <c r="E662" s="42"/>
    </row>
    <row r="663" ht="15.75" customHeight="1">
      <c r="D663" s="42"/>
      <c r="E663" s="42"/>
    </row>
    <row r="664" ht="15.75" customHeight="1">
      <c r="D664" s="42"/>
      <c r="E664" s="42"/>
    </row>
    <row r="665" ht="15.75" customHeight="1">
      <c r="D665" s="42"/>
      <c r="E665" s="42"/>
    </row>
    <row r="666" ht="15.75" customHeight="1">
      <c r="D666" s="42"/>
      <c r="E666" s="42"/>
    </row>
    <row r="667" ht="15.75" customHeight="1">
      <c r="D667" s="42"/>
      <c r="E667" s="42"/>
    </row>
    <row r="668" ht="15.75" customHeight="1">
      <c r="D668" s="42"/>
      <c r="E668" s="42"/>
    </row>
    <row r="669" ht="15.75" customHeight="1">
      <c r="D669" s="42"/>
      <c r="E669" s="42"/>
    </row>
    <row r="670" ht="15.75" customHeight="1">
      <c r="D670" s="42"/>
      <c r="E670" s="42"/>
    </row>
    <row r="671" ht="15.75" customHeight="1">
      <c r="D671" s="42"/>
      <c r="E671" s="42"/>
    </row>
    <row r="672" ht="15.75" customHeight="1">
      <c r="D672" s="42"/>
      <c r="E672" s="42"/>
    </row>
    <row r="673" ht="15.75" customHeight="1">
      <c r="D673" s="42"/>
      <c r="E673" s="42"/>
    </row>
    <row r="674" ht="15.75" customHeight="1">
      <c r="D674" s="42"/>
      <c r="E674" s="42"/>
    </row>
    <row r="675" ht="15.75" customHeight="1">
      <c r="D675" s="42"/>
      <c r="E675" s="42"/>
    </row>
    <row r="676" ht="15.75" customHeight="1">
      <c r="D676" s="42"/>
      <c r="E676" s="42"/>
    </row>
    <row r="677" ht="15.75" customHeight="1">
      <c r="D677" s="42"/>
      <c r="E677" s="42"/>
    </row>
    <row r="678" ht="15.75" customHeight="1">
      <c r="D678" s="42"/>
      <c r="E678" s="42"/>
    </row>
    <row r="679" ht="15.75" customHeight="1">
      <c r="D679" s="42"/>
      <c r="E679" s="42"/>
    </row>
    <row r="680" ht="15.75" customHeight="1">
      <c r="D680" s="42"/>
      <c r="E680" s="42"/>
    </row>
    <row r="681" ht="15.75" customHeight="1">
      <c r="D681" s="42"/>
      <c r="E681" s="42"/>
    </row>
    <row r="682" ht="15.75" customHeight="1">
      <c r="D682" s="42"/>
      <c r="E682" s="42"/>
    </row>
    <row r="683" ht="15.75" customHeight="1">
      <c r="D683" s="42"/>
      <c r="E683" s="42"/>
    </row>
    <row r="684" ht="15.75" customHeight="1">
      <c r="D684" s="42"/>
      <c r="E684" s="42"/>
    </row>
    <row r="685" ht="15.75" customHeight="1">
      <c r="D685" s="42"/>
      <c r="E685" s="42"/>
    </row>
    <row r="686" ht="15.75" customHeight="1">
      <c r="D686" s="42"/>
      <c r="E686" s="42"/>
    </row>
    <row r="687" ht="15.75" customHeight="1">
      <c r="D687" s="42"/>
      <c r="E687" s="42"/>
    </row>
    <row r="688" ht="15.75" customHeight="1">
      <c r="D688" s="42"/>
      <c r="E688" s="42"/>
    </row>
    <row r="689" ht="15.75" customHeight="1">
      <c r="D689" s="42"/>
      <c r="E689" s="42"/>
    </row>
    <row r="690" ht="15.75" customHeight="1">
      <c r="D690" s="42"/>
      <c r="E690" s="42"/>
    </row>
    <row r="691" ht="15.75" customHeight="1">
      <c r="D691" s="42"/>
      <c r="E691" s="42"/>
    </row>
    <row r="692" ht="15.75" customHeight="1">
      <c r="D692" s="42"/>
      <c r="E692" s="42"/>
    </row>
    <row r="693" ht="15.75" customHeight="1">
      <c r="D693" s="42"/>
      <c r="E693" s="42"/>
    </row>
    <row r="694" ht="15.75" customHeight="1">
      <c r="D694" s="42"/>
      <c r="E694" s="42"/>
    </row>
    <row r="695" ht="15.75" customHeight="1">
      <c r="D695" s="42"/>
      <c r="E695" s="42"/>
    </row>
    <row r="696" ht="15.75" customHeight="1">
      <c r="D696" s="42"/>
      <c r="E696" s="42"/>
    </row>
    <row r="697" ht="15.75" customHeight="1">
      <c r="D697" s="42"/>
      <c r="E697" s="42"/>
    </row>
    <row r="698" ht="15.75" customHeight="1">
      <c r="D698" s="42"/>
      <c r="E698" s="42"/>
    </row>
    <row r="699" ht="15.75" customHeight="1">
      <c r="D699" s="42"/>
      <c r="E699" s="42"/>
    </row>
    <row r="700" ht="15.75" customHeight="1">
      <c r="D700" s="42"/>
      <c r="E700" s="42"/>
    </row>
    <row r="701" ht="15.75" customHeight="1">
      <c r="D701" s="42"/>
      <c r="E701" s="42"/>
    </row>
    <row r="702" ht="15.75" customHeight="1">
      <c r="D702" s="42"/>
      <c r="E702" s="42"/>
    </row>
    <row r="703" ht="15.75" customHeight="1">
      <c r="D703" s="42"/>
      <c r="E703" s="42"/>
    </row>
    <row r="704" ht="15.75" customHeight="1">
      <c r="D704" s="42"/>
      <c r="E704" s="42"/>
    </row>
    <row r="705" ht="15.75" customHeight="1">
      <c r="D705" s="42"/>
      <c r="E705" s="42"/>
    </row>
    <row r="706" ht="15.75" customHeight="1">
      <c r="D706" s="42"/>
      <c r="E706" s="42"/>
    </row>
    <row r="707" ht="15.75" customHeight="1">
      <c r="D707" s="42"/>
      <c r="E707" s="42"/>
    </row>
    <row r="708" ht="15.75" customHeight="1">
      <c r="D708" s="42"/>
      <c r="E708" s="42"/>
    </row>
    <row r="709" ht="15.75" customHeight="1">
      <c r="D709" s="42"/>
      <c r="E709" s="42"/>
    </row>
    <row r="710" ht="15.75" customHeight="1">
      <c r="D710" s="42"/>
      <c r="E710" s="42"/>
    </row>
    <row r="711" ht="15.75" customHeight="1">
      <c r="D711" s="42"/>
      <c r="E711" s="42"/>
    </row>
    <row r="712" ht="15.75" customHeight="1">
      <c r="D712" s="42"/>
      <c r="E712" s="42"/>
    </row>
    <row r="713" ht="15.75" customHeight="1">
      <c r="D713" s="42"/>
      <c r="E713" s="42"/>
    </row>
    <row r="714" ht="15.75" customHeight="1">
      <c r="D714" s="42"/>
      <c r="E714" s="42"/>
    </row>
    <row r="715" ht="15.75" customHeight="1">
      <c r="D715" s="42"/>
      <c r="E715" s="42"/>
    </row>
    <row r="716" ht="15.75" customHeight="1">
      <c r="D716" s="42"/>
      <c r="E716" s="42"/>
    </row>
    <row r="717" ht="15.75" customHeight="1">
      <c r="D717" s="42"/>
      <c r="E717" s="42"/>
    </row>
    <row r="718" ht="15.75" customHeight="1">
      <c r="D718" s="42"/>
      <c r="E718" s="42"/>
    </row>
    <row r="719" ht="15.75" customHeight="1">
      <c r="D719" s="42"/>
      <c r="E719" s="42"/>
    </row>
    <row r="720" ht="15.75" customHeight="1">
      <c r="D720" s="42"/>
      <c r="E720" s="42"/>
    </row>
    <row r="721" ht="15.75" customHeight="1">
      <c r="D721" s="42"/>
      <c r="E721" s="42"/>
    </row>
    <row r="722" ht="15.75" customHeight="1">
      <c r="D722" s="42"/>
      <c r="E722" s="42"/>
    </row>
    <row r="723" ht="15.75" customHeight="1">
      <c r="D723" s="42"/>
      <c r="E723" s="42"/>
    </row>
    <row r="724" ht="15.75" customHeight="1">
      <c r="D724" s="42"/>
      <c r="E724" s="42"/>
    </row>
    <row r="725" ht="15.75" customHeight="1">
      <c r="D725" s="42"/>
      <c r="E725" s="42"/>
    </row>
    <row r="726" ht="15.75" customHeight="1">
      <c r="D726" s="42"/>
      <c r="E726" s="42"/>
    </row>
    <row r="727" ht="15.75" customHeight="1">
      <c r="D727" s="42"/>
      <c r="E727" s="42"/>
    </row>
    <row r="728" ht="15.75" customHeight="1">
      <c r="D728" s="42"/>
      <c r="E728" s="42"/>
    </row>
    <row r="729" ht="15.75" customHeight="1">
      <c r="D729" s="42"/>
      <c r="E729" s="42"/>
    </row>
    <row r="730" ht="15.75" customHeight="1">
      <c r="D730" s="42"/>
      <c r="E730" s="42"/>
    </row>
    <row r="731" ht="15.75" customHeight="1">
      <c r="D731" s="42"/>
      <c r="E731" s="42"/>
    </row>
    <row r="732" ht="15.75" customHeight="1">
      <c r="D732" s="42"/>
      <c r="E732" s="42"/>
    </row>
    <row r="733" ht="15.75" customHeight="1">
      <c r="D733" s="42"/>
      <c r="E733" s="42"/>
    </row>
    <row r="734" ht="15.75" customHeight="1">
      <c r="D734" s="42"/>
      <c r="E734" s="42"/>
    </row>
    <row r="735" ht="15.75" customHeight="1">
      <c r="D735" s="42"/>
      <c r="E735" s="42"/>
    </row>
    <row r="736" ht="15.75" customHeight="1">
      <c r="D736" s="42"/>
      <c r="E736" s="42"/>
    </row>
    <row r="737" ht="15.75" customHeight="1">
      <c r="D737" s="42"/>
      <c r="E737" s="42"/>
    </row>
    <row r="738" ht="15.75" customHeight="1">
      <c r="D738" s="42"/>
      <c r="E738" s="42"/>
    </row>
    <row r="739" ht="15.75" customHeight="1">
      <c r="D739" s="42"/>
      <c r="E739" s="42"/>
    </row>
    <row r="740" ht="15.75" customHeight="1">
      <c r="D740" s="42"/>
      <c r="E740" s="42"/>
    </row>
    <row r="741" ht="15.75" customHeight="1">
      <c r="D741" s="42"/>
      <c r="E741" s="42"/>
    </row>
    <row r="742" ht="15.75" customHeight="1">
      <c r="D742" s="42"/>
      <c r="E742" s="42"/>
    </row>
    <row r="743" ht="15.75" customHeight="1">
      <c r="D743" s="42"/>
      <c r="E743" s="42"/>
    </row>
    <row r="744" ht="15.75" customHeight="1">
      <c r="D744" s="42"/>
      <c r="E744" s="42"/>
    </row>
    <row r="745" ht="15.75" customHeight="1">
      <c r="D745" s="42"/>
      <c r="E745" s="42"/>
    </row>
    <row r="746" ht="15.75" customHeight="1">
      <c r="D746" s="42"/>
      <c r="E746" s="42"/>
    </row>
    <row r="747" ht="15.75" customHeight="1">
      <c r="D747" s="42"/>
      <c r="E747" s="42"/>
    </row>
    <row r="748" ht="15.75" customHeight="1">
      <c r="D748" s="42"/>
      <c r="E748" s="42"/>
    </row>
    <row r="749" ht="15.75" customHeight="1">
      <c r="D749" s="42"/>
      <c r="E749" s="42"/>
    </row>
    <row r="750" ht="15.75" customHeight="1">
      <c r="D750" s="42"/>
      <c r="E750" s="42"/>
    </row>
    <row r="751" ht="15.75" customHeight="1">
      <c r="D751" s="42"/>
      <c r="E751" s="42"/>
    </row>
    <row r="752" ht="15.75" customHeight="1">
      <c r="D752" s="42"/>
      <c r="E752" s="42"/>
    </row>
    <row r="753" ht="15.75" customHeight="1">
      <c r="D753" s="42"/>
      <c r="E753" s="42"/>
    </row>
    <row r="754" ht="15.75" customHeight="1">
      <c r="D754" s="42"/>
      <c r="E754" s="42"/>
    </row>
    <row r="755" ht="15.75" customHeight="1">
      <c r="D755" s="42"/>
      <c r="E755" s="42"/>
    </row>
    <row r="756" ht="15.75" customHeight="1">
      <c r="D756" s="42"/>
      <c r="E756" s="42"/>
    </row>
    <row r="757" ht="15.75" customHeight="1">
      <c r="D757" s="42"/>
      <c r="E757" s="42"/>
    </row>
    <row r="758" ht="15.75" customHeight="1">
      <c r="D758" s="42"/>
      <c r="E758" s="42"/>
    </row>
    <row r="759" ht="15.75" customHeight="1">
      <c r="D759" s="42"/>
      <c r="E759" s="42"/>
    </row>
    <row r="760" ht="15.75" customHeight="1">
      <c r="D760" s="42"/>
      <c r="E760" s="42"/>
    </row>
    <row r="761" ht="15.75" customHeight="1">
      <c r="D761" s="42"/>
      <c r="E761" s="42"/>
    </row>
    <row r="762" ht="15.75" customHeight="1">
      <c r="D762" s="42"/>
      <c r="E762" s="42"/>
    </row>
    <row r="763" ht="15.75" customHeight="1">
      <c r="D763" s="42"/>
      <c r="E763" s="42"/>
    </row>
    <row r="764" ht="15.75" customHeight="1">
      <c r="D764" s="42"/>
      <c r="E764" s="42"/>
    </row>
    <row r="765" ht="15.75" customHeight="1">
      <c r="D765" s="42"/>
      <c r="E765" s="42"/>
    </row>
    <row r="766" ht="15.75" customHeight="1">
      <c r="D766" s="42"/>
      <c r="E766" s="42"/>
    </row>
    <row r="767" ht="15.75" customHeight="1">
      <c r="D767" s="42"/>
      <c r="E767" s="42"/>
    </row>
    <row r="768" ht="15.75" customHeight="1">
      <c r="D768" s="42"/>
      <c r="E768" s="42"/>
    </row>
    <row r="769" ht="15.75" customHeight="1">
      <c r="D769" s="42"/>
      <c r="E769" s="42"/>
    </row>
    <row r="770" ht="15.75" customHeight="1">
      <c r="D770" s="42"/>
      <c r="E770" s="42"/>
    </row>
    <row r="771" ht="15.75" customHeight="1">
      <c r="D771" s="42"/>
      <c r="E771" s="42"/>
    </row>
    <row r="772" ht="15.75" customHeight="1">
      <c r="D772" s="42"/>
      <c r="E772" s="42"/>
    </row>
    <row r="773" ht="15.75" customHeight="1">
      <c r="D773" s="42"/>
      <c r="E773" s="42"/>
    </row>
    <row r="774" ht="15.75" customHeight="1">
      <c r="D774" s="42"/>
      <c r="E774" s="42"/>
    </row>
    <row r="775" ht="15.75" customHeight="1">
      <c r="D775" s="42"/>
      <c r="E775" s="42"/>
    </row>
    <row r="776" ht="15.75" customHeight="1">
      <c r="D776" s="42"/>
      <c r="E776" s="42"/>
    </row>
    <row r="777" ht="15.75" customHeight="1">
      <c r="D777" s="42"/>
      <c r="E777" s="42"/>
    </row>
    <row r="778" ht="15.75" customHeight="1">
      <c r="D778" s="42"/>
      <c r="E778" s="42"/>
    </row>
    <row r="779" ht="15.75" customHeight="1">
      <c r="D779" s="42"/>
      <c r="E779" s="42"/>
    </row>
    <row r="780" ht="15.75" customHeight="1">
      <c r="D780" s="42"/>
      <c r="E780" s="42"/>
    </row>
    <row r="781" ht="15.75" customHeight="1">
      <c r="D781" s="42"/>
      <c r="E781" s="42"/>
    </row>
    <row r="782" ht="15.75" customHeight="1">
      <c r="D782" s="42"/>
      <c r="E782" s="42"/>
    </row>
    <row r="783" ht="15.75" customHeight="1">
      <c r="D783" s="42"/>
      <c r="E783" s="42"/>
    </row>
    <row r="784" ht="15.75" customHeight="1">
      <c r="D784" s="42"/>
      <c r="E784" s="42"/>
    </row>
    <row r="785" ht="15.75" customHeight="1">
      <c r="D785" s="42"/>
      <c r="E785" s="42"/>
    </row>
    <row r="786" ht="15.75" customHeight="1">
      <c r="D786" s="42"/>
      <c r="E786" s="42"/>
    </row>
    <row r="787" ht="15.75" customHeight="1">
      <c r="D787" s="42"/>
      <c r="E787" s="42"/>
    </row>
    <row r="788" ht="15.75" customHeight="1">
      <c r="D788" s="42"/>
      <c r="E788" s="42"/>
    </row>
    <row r="789" ht="15.75" customHeight="1">
      <c r="D789" s="42"/>
      <c r="E789" s="42"/>
    </row>
    <row r="790" ht="15.75" customHeight="1">
      <c r="D790" s="42"/>
      <c r="E790" s="42"/>
    </row>
    <row r="791" ht="15.75" customHeight="1">
      <c r="D791" s="42"/>
      <c r="E791" s="42"/>
    </row>
    <row r="792" ht="15.75" customHeight="1">
      <c r="D792" s="42"/>
      <c r="E792" s="42"/>
    </row>
    <row r="793" ht="15.75" customHeight="1">
      <c r="D793" s="42"/>
      <c r="E793" s="42"/>
    </row>
    <row r="794" ht="15.75" customHeight="1">
      <c r="D794" s="42"/>
      <c r="E794" s="42"/>
    </row>
    <row r="795" ht="15.75" customHeight="1">
      <c r="D795" s="42"/>
      <c r="E795" s="42"/>
    </row>
    <row r="796" ht="15.75" customHeight="1">
      <c r="D796" s="42"/>
      <c r="E796" s="42"/>
    </row>
    <row r="797" ht="15.75" customHeight="1">
      <c r="D797" s="42"/>
      <c r="E797" s="42"/>
    </row>
    <row r="798" ht="15.75" customHeight="1">
      <c r="D798" s="42"/>
      <c r="E798" s="42"/>
    </row>
    <row r="799" ht="15.75" customHeight="1">
      <c r="D799" s="42"/>
      <c r="E799" s="42"/>
    </row>
    <row r="800" ht="15.75" customHeight="1">
      <c r="D800" s="42"/>
      <c r="E800" s="42"/>
    </row>
    <row r="801" ht="15.75" customHeight="1">
      <c r="D801" s="42"/>
      <c r="E801" s="42"/>
    </row>
    <row r="802" ht="15.75" customHeight="1">
      <c r="D802" s="42"/>
      <c r="E802" s="42"/>
    </row>
    <row r="803" ht="15.75" customHeight="1">
      <c r="D803" s="42"/>
      <c r="E803" s="42"/>
    </row>
    <row r="804" ht="15.75" customHeight="1">
      <c r="D804" s="42"/>
      <c r="E804" s="42"/>
    </row>
    <row r="805" ht="15.75" customHeight="1">
      <c r="D805" s="42"/>
      <c r="E805" s="42"/>
    </row>
    <row r="806" ht="15.75" customHeight="1">
      <c r="D806" s="42"/>
      <c r="E806" s="42"/>
    </row>
    <row r="807" ht="15.75" customHeight="1">
      <c r="D807" s="42"/>
      <c r="E807" s="42"/>
    </row>
    <row r="808" ht="15.75" customHeight="1">
      <c r="D808" s="42"/>
      <c r="E808" s="42"/>
    </row>
    <row r="809" ht="15.75" customHeight="1">
      <c r="D809" s="42"/>
      <c r="E809" s="42"/>
    </row>
    <row r="810" ht="15.75" customHeight="1">
      <c r="D810" s="42"/>
      <c r="E810" s="42"/>
    </row>
    <row r="811" ht="15.75" customHeight="1">
      <c r="D811" s="42"/>
      <c r="E811" s="42"/>
    </row>
    <row r="812" ht="15.75" customHeight="1">
      <c r="D812" s="42"/>
      <c r="E812" s="42"/>
    </row>
    <row r="813" ht="15.75" customHeight="1">
      <c r="D813" s="42"/>
      <c r="E813" s="42"/>
    </row>
    <row r="814" ht="15.75" customHeight="1">
      <c r="D814" s="42"/>
      <c r="E814" s="42"/>
    </row>
    <row r="815" ht="15.75" customHeight="1">
      <c r="D815" s="42"/>
      <c r="E815" s="42"/>
    </row>
    <row r="816" ht="15.75" customHeight="1">
      <c r="D816" s="42"/>
      <c r="E816" s="42"/>
    </row>
    <row r="817" ht="15.75" customHeight="1">
      <c r="D817" s="42"/>
      <c r="E817" s="42"/>
    </row>
    <row r="818" ht="15.75" customHeight="1">
      <c r="D818" s="42"/>
      <c r="E818" s="42"/>
    </row>
    <row r="819" ht="15.75" customHeight="1">
      <c r="D819" s="42"/>
      <c r="E819" s="42"/>
    </row>
    <row r="820" ht="15.75" customHeight="1">
      <c r="D820" s="42"/>
      <c r="E820" s="42"/>
    </row>
    <row r="821" ht="15.75" customHeight="1">
      <c r="D821" s="42"/>
      <c r="E821" s="42"/>
    </row>
    <row r="822" ht="15.75" customHeight="1">
      <c r="D822" s="42"/>
      <c r="E822" s="42"/>
    </row>
    <row r="823" ht="15.75" customHeight="1">
      <c r="D823" s="42"/>
      <c r="E823" s="42"/>
    </row>
    <row r="824" ht="15.75" customHeight="1">
      <c r="D824" s="42"/>
      <c r="E824" s="42"/>
    </row>
    <row r="825" ht="15.75" customHeight="1">
      <c r="D825" s="42"/>
      <c r="E825" s="42"/>
    </row>
    <row r="826" ht="15.75" customHeight="1">
      <c r="D826" s="42"/>
      <c r="E826" s="42"/>
    </row>
    <row r="827" ht="15.75" customHeight="1">
      <c r="D827" s="42"/>
      <c r="E827" s="42"/>
    </row>
    <row r="828" ht="15.75" customHeight="1">
      <c r="D828" s="42"/>
      <c r="E828" s="42"/>
    </row>
    <row r="829" ht="15.75" customHeight="1">
      <c r="D829" s="42"/>
      <c r="E829" s="42"/>
    </row>
    <row r="830" ht="15.75" customHeight="1">
      <c r="D830" s="42"/>
      <c r="E830" s="42"/>
    </row>
    <row r="831" ht="15.75" customHeight="1">
      <c r="D831" s="42"/>
      <c r="E831" s="42"/>
    </row>
    <row r="832" ht="15.75" customHeight="1">
      <c r="D832" s="42"/>
      <c r="E832" s="42"/>
    </row>
    <row r="833" ht="15.75" customHeight="1">
      <c r="D833" s="42"/>
      <c r="E833" s="42"/>
    </row>
    <row r="834" ht="15.75" customHeight="1">
      <c r="D834" s="42"/>
      <c r="E834" s="42"/>
    </row>
    <row r="835" ht="15.75" customHeight="1">
      <c r="D835" s="42"/>
      <c r="E835" s="42"/>
    </row>
    <row r="836" ht="15.75" customHeight="1">
      <c r="D836" s="42"/>
      <c r="E836" s="42"/>
    </row>
    <row r="837" ht="15.75" customHeight="1">
      <c r="D837" s="42"/>
      <c r="E837" s="42"/>
    </row>
    <row r="838" ht="15.75" customHeight="1">
      <c r="D838" s="42"/>
      <c r="E838" s="42"/>
    </row>
    <row r="839" ht="15.75" customHeight="1">
      <c r="D839" s="42"/>
      <c r="E839" s="42"/>
    </row>
    <row r="840" ht="15.75" customHeight="1">
      <c r="D840" s="42"/>
      <c r="E840" s="42"/>
    </row>
    <row r="841" ht="15.75" customHeight="1">
      <c r="D841" s="42"/>
      <c r="E841" s="42"/>
    </row>
    <row r="842" ht="15.75" customHeight="1">
      <c r="D842" s="42"/>
      <c r="E842" s="42"/>
    </row>
    <row r="843" ht="15.75" customHeight="1">
      <c r="D843" s="42"/>
      <c r="E843" s="42"/>
    </row>
    <row r="844" ht="15.75" customHeight="1">
      <c r="D844" s="42"/>
      <c r="E844" s="42"/>
    </row>
    <row r="845" ht="15.75" customHeight="1">
      <c r="D845" s="42"/>
      <c r="E845" s="42"/>
    </row>
    <row r="846" ht="15.75" customHeight="1">
      <c r="D846" s="42"/>
      <c r="E846" s="42"/>
    </row>
    <row r="847" ht="15.75" customHeight="1">
      <c r="D847" s="42"/>
      <c r="E847" s="42"/>
    </row>
    <row r="848" ht="15.75" customHeight="1">
      <c r="D848" s="42"/>
      <c r="E848" s="42"/>
    </row>
    <row r="849" ht="15.75" customHeight="1">
      <c r="D849" s="42"/>
      <c r="E849" s="42"/>
    </row>
    <row r="850" ht="15.75" customHeight="1">
      <c r="D850" s="42"/>
      <c r="E850" s="42"/>
    </row>
    <row r="851" ht="15.75" customHeight="1">
      <c r="D851" s="42"/>
      <c r="E851" s="42"/>
    </row>
    <row r="852" ht="15.75" customHeight="1">
      <c r="D852" s="42"/>
      <c r="E852" s="42"/>
    </row>
    <row r="853" ht="15.75" customHeight="1">
      <c r="D853" s="42"/>
      <c r="E853" s="42"/>
    </row>
    <row r="854" ht="15.75" customHeight="1">
      <c r="D854" s="42"/>
      <c r="E854" s="42"/>
    </row>
    <row r="855" ht="15.75" customHeight="1">
      <c r="D855" s="42"/>
      <c r="E855" s="42"/>
    </row>
    <row r="856" ht="15.75" customHeight="1">
      <c r="D856" s="42"/>
      <c r="E856" s="42"/>
    </row>
    <row r="857" ht="15.75" customHeight="1">
      <c r="D857" s="42"/>
      <c r="E857" s="42"/>
    </row>
    <row r="858" ht="15.75" customHeight="1">
      <c r="D858" s="42"/>
      <c r="E858" s="42"/>
    </row>
    <row r="859" ht="15.75" customHeight="1">
      <c r="D859" s="42"/>
      <c r="E859" s="42"/>
    </row>
    <row r="860" ht="15.75" customHeight="1">
      <c r="D860" s="42"/>
      <c r="E860" s="42"/>
    </row>
    <row r="861" ht="15.75" customHeight="1">
      <c r="D861" s="42"/>
      <c r="E861" s="42"/>
    </row>
    <row r="862" ht="15.75" customHeight="1">
      <c r="D862" s="42"/>
      <c r="E862" s="42"/>
    </row>
    <row r="863" ht="15.75" customHeight="1">
      <c r="D863" s="42"/>
      <c r="E863" s="42"/>
    </row>
    <row r="864" ht="15.75" customHeight="1">
      <c r="D864" s="42"/>
      <c r="E864" s="42"/>
    </row>
    <row r="865" ht="15.75" customHeight="1">
      <c r="D865" s="42"/>
      <c r="E865" s="42"/>
    </row>
    <row r="866" ht="15.75" customHeight="1">
      <c r="D866" s="42"/>
      <c r="E866" s="42"/>
    </row>
    <row r="867" ht="15.75" customHeight="1">
      <c r="D867" s="42"/>
      <c r="E867" s="42"/>
    </row>
    <row r="868" ht="15.75" customHeight="1">
      <c r="D868" s="42"/>
      <c r="E868" s="42"/>
    </row>
    <row r="869" ht="15.75" customHeight="1">
      <c r="D869" s="42"/>
      <c r="E869" s="42"/>
    </row>
    <row r="870" ht="15.75" customHeight="1">
      <c r="D870" s="42"/>
      <c r="E870" s="42"/>
    </row>
    <row r="871" ht="15.75" customHeight="1">
      <c r="D871" s="42"/>
      <c r="E871" s="42"/>
    </row>
    <row r="872" ht="15.75" customHeight="1">
      <c r="D872" s="42"/>
      <c r="E872" s="42"/>
    </row>
    <row r="873" ht="15.75" customHeight="1">
      <c r="D873" s="42"/>
      <c r="E873" s="42"/>
    </row>
    <row r="874" ht="15.75" customHeight="1">
      <c r="D874" s="42"/>
      <c r="E874" s="42"/>
    </row>
    <row r="875" ht="15.75" customHeight="1">
      <c r="D875" s="42"/>
      <c r="E875" s="42"/>
    </row>
    <row r="876" ht="15.75" customHeight="1">
      <c r="D876" s="42"/>
      <c r="E876" s="42"/>
    </row>
    <row r="877" ht="15.75" customHeight="1">
      <c r="D877" s="42"/>
      <c r="E877" s="42"/>
    </row>
    <row r="878" ht="15.75" customHeight="1">
      <c r="D878" s="42"/>
      <c r="E878" s="42"/>
    </row>
    <row r="879" ht="15.75" customHeight="1">
      <c r="D879" s="42"/>
      <c r="E879" s="42"/>
    </row>
    <row r="880" ht="15.75" customHeight="1">
      <c r="D880" s="42"/>
      <c r="E880" s="42"/>
    </row>
    <row r="881" ht="15.75" customHeight="1">
      <c r="D881" s="42"/>
      <c r="E881" s="42"/>
    </row>
    <row r="882" ht="15.75" customHeight="1">
      <c r="D882" s="42"/>
      <c r="E882" s="42"/>
    </row>
    <row r="883" ht="15.75" customHeight="1">
      <c r="D883" s="42"/>
      <c r="E883" s="42"/>
    </row>
    <row r="884" ht="15.75" customHeight="1">
      <c r="D884" s="42"/>
      <c r="E884" s="42"/>
    </row>
    <row r="885" ht="15.75" customHeight="1">
      <c r="D885" s="42"/>
      <c r="E885" s="42"/>
    </row>
    <row r="886" ht="15.75" customHeight="1">
      <c r="D886" s="42"/>
      <c r="E886" s="42"/>
    </row>
    <row r="887" ht="15.75" customHeight="1">
      <c r="D887" s="42"/>
      <c r="E887" s="42"/>
    </row>
    <row r="888" ht="15.75" customHeight="1">
      <c r="D888" s="42"/>
      <c r="E888" s="42"/>
    </row>
    <row r="889" ht="15.75" customHeight="1">
      <c r="D889" s="42"/>
      <c r="E889" s="42"/>
    </row>
    <row r="890" ht="15.75" customHeight="1">
      <c r="D890" s="42"/>
      <c r="E890" s="42"/>
    </row>
    <row r="891" ht="15.75" customHeight="1">
      <c r="D891" s="42"/>
      <c r="E891" s="42"/>
    </row>
    <row r="892" ht="15.75" customHeight="1">
      <c r="D892" s="42"/>
      <c r="E892" s="42"/>
    </row>
    <row r="893" ht="15.75" customHeight="1">
      <c r="D893" s="42"/>
      <c r="E893" s="42"/>
    </row>
    <row r="894" ht="15.75" customHeight="1">
      <c r="D894" s="42"/>
      <c r="E894" s="42"/>
    </row>
    <row r="895" ht="15.75" customHeight="1">
      <c r="D895" s="42"/>
      <c r="E895" s="42"/>
    </row>
    <row r="896" ht="15.75" customHeight="1">
      <c r="D896" s="42"/>
      <c r="E896" s="42"/>
    </row>
    <row r="897" ht="15.75" customHeight="1">
      <c r="D897" s="42"/>
      <c r="E897" s="42"/>
    </row>
    <row r="898" ht="15.75" customHeight="1">
      <c r="D898" s="42"/>
      <c r="E898" s="42"/>
    </row>
    <row r="899" ht="15.75" customHeight="1">
      <c r="D899" s="42"/>
      <c r="E899" s="42"/>
    </row>
    <row r="900" ht="15.75" customHeight="1">
      <c r="D900" s="42"/>
      <c r="E900" s="42"/>
    </row>
    <row r="901" ht="15.75" customHeight="1">
      <c r="D901" s="42"/>
      <c r="E901" s="42"/>
    </row>
    <row r="902" ht="15.75" customHeight="1">
      <c r="D902" s="42"/>
      <c r="E902" s="42"/>
    </row>
    <row r="903" ht="15.75" customHeight="1">
      <c r="D903" s="42"/>
      <c r="E903" s="42"/>
    </row>
    <row r="904" ht="15.75" customHeight="1">
      <c r="D904" s="42"/>
      <c r="E904" s="42"/>
    </row>
    <row r="905" ht="15.75" customHeight="1">
      <c r="D905" s="42"/>
      <c r="E905" s="42"/>
    </row>
    <row r="906" ht="15.75" customHeight="1">
      <c r="D906" s="42"/>
      <c r="E906" s="42"/>
    </row>
    <row r="907" ht="15.75" customHeight="1">
      <c r="D907" s="42"/>
      <c r="E907" s="42"/>
    </row>
    <row r="908" ht="15.75" customHeight="1">
      <c r="D908" s="42"/>
      <c r="E908" s="42"/>
    </row>
    <row r="909" ht="15.75" customHeight="1">
      <c r="D909" s="42"/>
      <c r="E909" s="42"/>
    </row>
    <row r="910" ht="15.75" customHeight="1">
      <c r="D910" s="42"/>
      <c r="E910" s="42"/>
    </row>
    <row r="911" ht="15.75" customHeight="1">
      <c r="D911" s="42"/>
      <c r="E911" s="42"/>
    </row>
    <row r="912" ht="15.75" customHeight="1">
      <c r="D912" s="42"/>
      <c r="E912" s="42"/>
    </row>
    <row r="913" ht="15.75" customHeight="1">
      <c r="D913" s="42"/>
      <c r="E913" s="42"/>
    </row>
    <row r="914" ht="15.75" customHeight="1">
      <c r="D914" s="42"/>
      <c r="E914" s="42"/>
    </row>
    <row r="915" ht="15.75" customHeight="1">
      <c r="D915" s="42"/>
      <c r="E915" s="42"/>
    </row>
    <row r="916" ht="15.75" customHeight="1">
      <c r="D916" s="42"/>
      <c r="E916" s="42"/>
    </row>
    <row r="917" ht="15.75" customHeight="1">
      <c r="D917" s="42"/>
      <c r="E917" s="42"/>
    </row>
    <row r="918" ht="15.75" customHeight="1">
      <c r="D918" s="42"/>
      <c r="E918" s="42"/>
    </row>
    <row r="919" ht="15.75" customHeight="1">
      <c r="D919" s="42"/>
      <c r="E919" s="42"/>
    </row>
    <row r="920" ht="15.75" customHeight="1">
      <c r="D920" s="42"/>
      <c r="E920" s="42"/>
    </row>
    <row r="921" ht="15.75" customHeight="1">
      <c r="D921" s="42"/>
      <c r="E921" s="42"/>
    </row>
    <row r="922" ht="15.75" customHeight="1">
      <c r="D922" s="42"/>
      <c r="E922" s="42"/>
    </row>
    <row r="923" ht="15.75" customHeight="1">
      <c r="D923" s="42"/>
      <c r="E923" s="42"/>
    </row>
    <row r="924" ht="15.75" customHeight="1">
      <c r="D924" s="42"/>
      <c r="E924" s="42"/>
    </row>
    <row r="925" ht="15.75" customHeight="1">
      <c r="D925" s="42"/>
      <c r="E925" s="42"/>
    </row>
    <row r="926" ht="15.75" customHeight="1">
      <c r="D926" s="42"/>
      <c r="E926" s="42"/>
    </row>
    <row r="927" ht="15.75" customHeight="1">
      <c r="D927" s="42"/>
      <c r="E927" s="42"/>
    </row>
    <row r="928" ht="15.75" customHeight="1">
      <c r="D928" s="42"/>
      <c r="E928" s="42"/>
    </row>
    <row r="929" ht="15.75" customHeight="1">
      <c r="D929" s="42"/>
      <c r="E929" s="42"/>
    </row>
    <row r="930" ht="15.75" customHeight="1">
      <c r="D930" s="42"/>
      <c r="E930" s="42"/>
    </row>
    <row r="931" ht="15.75" customHeight="1">
      <c r="D931" s="42"/>
      <c r="E931" s="42"/>
    </row>
    <row r="932" ht="15.75" customHeight="1">
      <c r="D932" s="42"/>
      <c r="E932" s="42"/>
    </row>
    <row r="933" ht="15.75" customHeight="1">
      <c r="D933" s="42"/>
      <c r="E933" s="42"/>
    </row>
    <row r="934" ht="15.75" customHeight="1">
      <c r="D934" s="42"/>
      <c r="E934" s="42"/>
    </row>
    <row r="935" ht="15.75" customHeight="1">
      <c r="D935" s="42"/>
      <c r="E935" s="42"/>
    </row>
    <row r="936" ht="15.75" customHeight="1">
      <c r="D936" s="42"/>
      <c r="E936" s="42"/>
    </row>
    <row r="937" ht="15.75" customHeight="1">
      <c r="D937" s="42"/>
      <c r="E937" s="42"/>
    </row>
    <row r="938" ht="15.75" customHeight="1">
      <c r="D938" s="42"/>
      <c r="E938" s="42"/>
    </row>
    <row r="939" ht="15.75" customHeight="1">
      <c r="D939" s="42"/>
      <c r="E939" s="42"/>
    </row>
    <row r="940" ht="15.75" customHeight="1">
      <c r="D940" s="42"/>
      <c r="E940" s="42"/>
    </row>
    <row r="941" ht="15.75" customHeight="1">
      <c r="D941" s="42"/>
      <c r="E941" s="42"/>
    </row>
    <row r="942" ht="15.75" customHeight="1">
      <c r="D942" s="42"/>
      <c r="E942" s="42"/>
    </row>
    <row r="943" ht="15.75" customHeight="1">
      <c r="D943" s="42"/>
      <c r="E943" s="42"/>
    </row>
    <row r="944" ht="15.75" customHeight="1">
      <c r="D944" s="42"/>
      <c r="E944" s="42"/>
    </row>
    <row r="945" ht="15.75" customHeight="1">
      <c r="D945" s="42"/>
      <c r="E945" s="42"/>
    </row>
    <row r="946" ht="15.75" customHeight="1">
      <c r="D946" s="42"/>
      <c r="E946" s="42"/>
    </row>
    <row r="947" ht="15.75" customHeight="1">
      <c r="D947" s="42"/>
      <c r="E947" s="42"/>
    </row>
    <row r="948" ht="15.75" customHeight="1">
      <c r="D948" s="42"/>
      <c r="E948" s="42"/>
    </row>
    <row r="949" ht="15.75" customHeight="1">
      <c r="D949" s="42"/>
      <c r="E949" s="42"/>
    </row>
    <row r="950" ht="15.75" customHeight="1">
      <c r="D950" s="42"/>
      <c r="E950" s="42"/>
    </row>
    <row r="951" ht="15.75" customHeight="1">
      <c r="D951" s="42"/>
      <c r="E951" s="42"/>
    </row>
    <row r="952" ht="15.75" customHeight="1">
      <c r="D952" s="42"/>
      <c r="E952" s="42"/>
    </row>
    <row r="953" ht="15.75" customHeight="1">
      <c r="D953" s="42"/>
      <c r="E953" s="42"/>
    </row>
    <row r="954" ht="15.75" customHeight="1">
      <c r="D954" s="42"/>
      <c r="E954" s="42"/>
    </row>
    <row r="955" ht="15.75" customHeight="1">
      <c r="D955" s="42"/>
      <c r="E955" s="42"/>
    </row>
    <row r="956" ht="15.75" customHeight="1">
      <c r="D956" s="42"/>
      <c r="E956" s="42"/>
    </row>
    <row r="957" ht="15.75" customHeight="1">
      <c r="D957" s="42"/>
      <c r="E957" s="42"/>
    </row>
    <row r="958" ht="15.75" customHeight="1">
      <c r="D958" s="42"/>
      <c r="E958" s="42"/>
    </row>
    <row r="959" ht="15.75" customHeight="1">
      <c r="D959" s="42"/>
      <c r="E959" s="42"/>
    </row>
    <row r="960" ht="15.75" customHeight="1">
      <c r="D960" s="42"/>
      <c r="E960" s="42"/>
    </row>
    <row r="961" ht="15.75" customHeight="1">
      <c r="D961" s="42"/>
      <c r="E961" s="42"/>
    </row>
    <row r="962" ht="15.75" customHeight="1">
      <c r="D962" s="42"/>
      <c r="E962" s="42"/>
    </row>
    <row r="963" ht="15.75" customHeight="1">
      <c r="D963" s="42"/>
      <c r="E963" s="42"/>
    </row>
    <row r="964" ht="15.75" customHeight="1">
      <c r="D964" s="42"/>
      <c r="E964" s="42"/>
    </row>
    <row r="965" ht="15.75" customHeight="1">
      <c r="D965" s="42"/>
      <c r="E965" s="42"/>
    </row>
    <row r="966" ht="15.75" customHeight="1">
      <c r="D966" s="42"/>
      <c r="E966" s="42"/>
    </row>
    <row r="967" ht="15.75" customHeight="1">
      <c r="D967" s="42"/>
      <c r="E967" s="42"/>
    </row>
    <row r="968" ht="15.75" customHeight="1">
      <c r="D968" s="42"/>
      <c r="E968" s="42"/>
    </row>
    <row r="969" ht="15.75" customHeight="1">
      <c r="D969" s="42"/>
      <c r="E969" s="42"/>
    </row>
    <row r="970" ht="15.75" customHeight="1">
      <c r="D970" s="42"/>
      <c r="E970" s="42"/>
    </row>
    <row r="971" ht="15.75" customHeight="1">
      <c r="D971" s="42"/>
      <c r="E971" s="42"/>
    </row>
    <row r="972" ht="15.75" customHeight="1">
      <c r="D972" s="42"/>
      <c r="E972" s="42"/>
    </row>
    <row r="973" ht="15.75" customHeight="1">
      <c r="D973" s="42"/>
      <c r="E973" s="42"/>
    </row>
    <row r="974" ht="15.75" customHeight="1">
      <c r="D974" s="42"/>
      <c r="E974" s="42"/>
    </row>
    <row r="975" ht="15.75" customHeight="1">
      <c r="D975" s="42"/>
      <c r="E975" s="42"/>
    </row>
    <row r="976" ht="15.75" customHeight="1">
      <c r="D976" s="42"/>
      <c r="E976" s="42"/>
    </row>
    <row r="977" ht="15.75" customHeight="1">
      <c r="D977" s="42"/>
      <c r="E977" s="42"/>
    </row>
    <row r="978" ht="15.75" customHeight="1">
      <c r="D978" s="42"/>
      <c r="E978" s="42"/>
    </row>
    <row r="979" ht="15.75" customHeight="1">
      <c r="D979" s="42"/>
      <c r="E979" s="42"/>
    </row>
    <row r="980" ht="15.75" customHeight="1">
      <c r="D980" s="42"/>
      <c r="E980" s="42"/>
    </row>
    <row r="981" ht="15.75" customHeight="1">
      <c r="D981" s="42"/>
      <c r="E981" s="42"/>
    </row>
    <row r="982" ht="15.75" customHeight="1">
      <c r="D982" s="42"/>
      <c r="E982" s="42"/>
    </row>
    <row r="983" ht="15.75" customHeight="1">
      <c r="D983" s="42"/>
      <c r="E983" s="42"/>
    </row>
    <row r="984" ht="15.75" customHeight="1">
      <c r="D984" s="42"/>
      <c r="E984" s="42"/>
    </row>
    <row r="985" ht="15.75" customHeight="1">
      <c r="D985" s="42"/>
      <c r="E985" s="42"/>
    </row>
    <row r="986" ht="15.75" customHeight="1">
      <c r="D986" s="42"/>
      <c r="E986" s="42"/>
    </row>
    <row r="987" ht="15.75" customHeight="1">
      <c r="D987" s="42"/>
      <c r="E987" s="42"/>
    </row>
    <row r="988" ht="15.75" customHeight="1">
      <c r="D988" s="42"/>
      <c r="E988" s="42"/>
    </row>
    <row r="989" ht="15.75" customHeight="1">
      <c r="D989" s="42"/>
      <c r="E989" s="42"/>
    </row>
    <row r="990" ht="15.75" customHeight="1">
      <c r="D990" s="42"/>
      <c r="E990" s="42"/>
    </row>
    <row r="991" ht="15.75" customHeight="1">
      <c r="D991" s="42"/>
      <c r="E991" s="42"/>
    </row>
    <row r="992" ht="15.75" customHeight="1">
      <c r="D992" s="42"/>
      <c r="E992" s="42"/>
    </row>
    <row r="993" ht="15.75" customHeight="1">
      <c r="D993" s="42"/>
      <c r="E993" s="42"/>
    </row>
    <row r="994" ht="15.75" customHeight="1">
      <c r="D994" s="42"/>
      <c r="E994" s="42"/>
    </row>
    <row r="995" ht="15.75" customHeight="1">
      <c r="D995" s="42"/>
      <c r="E995" s="42"/>
    </row>
    <row r="996" ht="15.75" customHeight="1">
      <c r="D996" s="42"/>
      <c r="E996" s="42"/>
    </row>
    <row r="997" ht="15.75" customHeight="1">
      <c r="D997" s="42"/>
      <c r="E997" s="42"/>
    </row>
    <row r="998" ht="15.75" customHeight="1">
      <c r="D998" s="42"/>
      <c r="E998" s="42"/>
    </row>
    <row r="999" ht="15.75" customHeight="1">
      <c r="D999" s="42"/>
      <c r="E999" s="42"/>
    </row>
    <row r="1000" ht="15.75" customHeight="1">
      <c r="D1000" s="42"/>
      <c r="E1000" s="42"/>
    </row>
  </sheetData>
  <mergeCells count="12">
    <mergeCell ref="O6:R6"/>
    <mergeCell ref="S6:V6"/>
    <mergeCell ref="A23:C23"/>
    <mergeCell ref="A24:C24"/>
    <mergeCell ref="A1:Z2"/>
    <mergeCell ref="A3:Z4"/>
    <mergeCell ref="A5:Z5"/>
    <mergeCell ref="A6:A7"/>
    <mergeCell ref="E6:E7"/>
    <mergeCell ref="F6:I6"/>
    <mergeCell ref="J6:N6"/>
    <mergeCell ref="W6:Z6"/>
  </mergeCells>
  <printOptions/>
  <pageMargins bottom="0.2" footer="0.0" header="0.0" left="0.2" right="0.2" top="0.2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0.86"/>
    <col customWidth="1" min="3" max="3" width="9.86"/>
    <col customWidth="1" min="4" max="4" width="8.43"/>
    <col customWidth="1" min="5" max="5" width="10.71"/>
    <col customWidth="1" min="6" max="6" width="14.43"/>
    <col customWidth="1" hidden="1" min="7" max="7" width="0.43"/>
    <col customWidth="1" min="8" max="8" width="12.14"/>
    <col customWidth="1" hidden="1" min="9" max="9" width="11.29"/>
    <col customWidth="1" min="10" max="10" width="9.57"/>
    <col customWidth="1" min="11" max="11" width="14.29"/>
    <col customWidth="1" hidden="1" min="12" max="12" width="15.86"/>
    <col customWidth="1" min="13" max="13" width="14.43"/>
    <col customWidth="1" min="14" max="14" width="0.14"/>
    <col customWidth="1" min="15" max="15" width="10.29"/>
    <col customWidth="1" min="16" max="16" width="11.43"/>
    <col customWidth="1" min="17" max="17" width="14.43"/>
    <col customWidth="1" hidden="1" min="18" max="18" width="12.57"/>
    <col customWidth="1" min="19" max="19" width="12.29"/>
    <col customWidth="1" hidden="1" min="20" max="20" width="0.14"/>
    <col customWidth="1" min="21" max="21" width="9.57"/>
    <col customWidth="1" min="22" max="22" width="12.29"/>
    <col customWidth="1" min="23" max="23" width="15.14"/>
    <col customWidth="1" hidden="1" min="24" max="24" width="18.71"/>
    <col customWidth="1" min="25" max="25" width="11.29"/>
    <col customWidth="1" hidden="1" min="26" max="26" width="11.57"/>
    <col customWidth="1" min="27" max="27" width="10.29"/>
    <col customWidth="1" min="28" max="28" width="13.14"/>
    <col customWidth="1" min="29" max="29" width="13.71"/>
    <col customWidth="1" hidden="1" min="30" max="30" width="16.14"/>
    <col customWidth="1" min="31" max="31" width="15.0"/>
    <col customWidth="1" hidden="1" min="32" max="32" width="0.29"/>
    <col customWidth="1" min="33" max="33" width="8.14"/>
    <col customWidth="1" min="34" max="34" width="11.57"/>
  </cols>
  <sheetData>
    <row r="1">
      <c r="A1" s="1" t="s">
        <v>0</v>
      </c>
    </row>
    <row r="3">
      <c r="A3" s="2" t="s">
        <v>54</v>
      </c>
    </row>
    <row r="4" ht="16.5" customHeight="1"/>
    <row r="5" ht="16.5" customHeight="1">
      <c r="A5" s="3" t="s">
        <v>55</v>
      </c>
    </row>
    <row r="6" ht="45.0" customHeight="1">
      <c r="A6" s="4" t="s">
        <v>3</v>
      </c>
      <c r="B6" s="104" t="s">
        <v>56</v>
      </c>
      <c r="C6" s="104" t="s">
        <v>5</v>
      </c>
      <c r="D6" s="104" t="s">
        <v>6</v>
      </c>
      <c r="E6" s="4" t="s">
        <v>7</v>
      </c>
      <c r="F6" s="6" t="s">
        <v>57</v>
      </c>
      <c r="G6" s="7"/>
      <c r="H6" s="7"/>
      <c r="I6" s="7"/>
      <c r="J6" s="8"/>
      <c r="K6" s="6" t="s">
        <v>58</v>
      </c>
      <c r="L6" s="7"/>
      <c r="M6" s="7"/>
      <c r="N6" s="7"/>
      <c r="O6" s="105"/>
      <c r="P6" s="75"/>
      <c r="Q6" s="6" t="s">
        <v>59</v>
      </c>
      <c r="R6" s="7"/>
      <c r="S6" s="7"/>
      <c r="T6" s="7"/>
      <c r="U6" s="8"/>
      <c r="V6" s="75"/>
      <c r="W6" s="6" t="s">
        <v>60</v>
      </c>
      <c r="X6" s="7"/>
      <c r="Y6" s="7"/>
      <c r="Z6" s="7"/>
      <c r="AA6" s="8"/>
      <c r="AB6" s="75"/>
      <c r="AC6" s="6" t="s">
        <v>61</v>
      </c>
      <c r="AD6" s="7"/>
      <c r="AE6" s="7"/>
      <c r="AF6" s="7"/>
      <c r="AG6" s="8"/>
    </row>
    <row r="7" ht="15.75" customHeight="1">
      <c r="A7" s="9"/>
      <c r="B7" s="11"/>
      <c r="C7" s="11"/>
      <c r="D7" s="11"/>
      <c r="E7" s="11"/>
      <c r="F7" s="12" t="s">
        <v>13</v>
      </c>
      <c r="G7" s="12"/>
      <c r="H7" s="12" t="s">
        <v>14</v>
      </c>
      <c r="I7" s="12"/>
      <c r="J7" s="12" t="s">
        <v>15</v>
      </c>
      <c r="K7" s="12" t="s">
        <v>13</v>
      </c>
      <c r="L7" s="12"/>
      <c r="M7" s="12" t="s">
        <v>14</v>
      </c>
      <c r="N7" s="12"/>
      <c r="O7" s="12" t="s">
        <v>15</v>
      </c>
      <c r="P7" s="106" t="s">
        <v>62</v>
      </c>
      <c r="Q7" s="12" t="s">
        <v>13</v>
      </c>
      <c r="R7" s="12"/>
      <c r="S7" s="12" t="s">
        <v>14</v>
      </c>
      <c r="T7" s="12"/>
      <c r="U7" s="12" t="s">
        <v>15</v>
      </c>
      <c r="V7" s="106" t="s">
        <v>63</v>
      </c>
      <c r="W7" s="12" t="s">
        <v>13</v>
      </c>
      <c r="X7" s="12"/>
      <c r="Y7" s="12" t="s">
        <v>14</v>
      </c>
      <c r="Z7" s="12"/>
      <c r="AA7" s="12" t="s">
        <v>15</v>
      </c>
      <c r="AB7" s="106" t="s">
        <v>64</v>
      </c>
      <c r="AC7" s="12" t="s">
        <v>13</v>
      </c>
      <c r="AD7" s="12"/>
      <c r="AE7" s="12" t="s">
        <v>14</v>
      </c>
      <c r="AF7" s="12"/>
      <c r="AG7" s="12" t="s">
        <v>15</v>
      </c>
    </row>
    <row r="8">
      <c r="A8" s="107">
        <v>1.0</v>
      </c>
      <c r="B8" s="108" t="s">
        <v>16</v>
      </c>
      <c r="C8" s="107" t="s">
        <v>17</v>
      </c>
      <c r="D8" s="107">
        <v>79.99</v>
      </c>
      <c r="E8" s="107">
        <v>500.0</v>
      </c>
      <c r="F8" s="16">
        <v>1788.0</v>
      </c>
      <c r="G8" s="109">
        <f t="shared" ref="G8:G22" si="1">F8*D8</f>
        <v>143022.12</v>
      </c>
      <c r="H8" s="110"/>
      <c r="I8" s="111">
        <f t="shared" ref="I8:I22" si="2">H8*D8</f>
        <v>0</v>
      </c>
      <c r="J8" s="112">
        <v>0.0</v>
      </c>
      <c r="K8" s="16">
        <v>3875.0</v>
      </c>
      <c r="L8" s="109">
        <f t="shared" ref="L8:L22" si="3">K8*D8</f>
        <v>309961.25</v>
      </c>
      <c r="M8" s="16">
        <v>43.0</v>
      </c>
      <c r="N8" s="109">
        <f t="shared" ref="N8:N22" si="4">M8*D8</f>
        <v>3439.57</v>
      </c>
      <c r="O8" s="112">
        <f t="shared" ref="O8:O24" si="5">M8/K8</f>
        <v>0.01109677419</v>
      </c>
      <c r="P8" s="113">
        <v>0.0</v>
      </c>
      <c r="Q8" s="16">
        <v>5962.0</v>
      </c>
      <c r="R8" s="16">
        <f t="shared" ref="R8:R22" si="6">Q8*D8</f>
        <v>476900.38</v>
      </c>
      <c r="S8" s="16"/>
      <c r="T8" s="109">
        <f t="shared" ref="T8:T22" si="7">S8*D8</f>
        <v>0</v>
      </c>
      <c r="U8" s="112">
        <f t="shared" ref="U8:U24" si="8">S8/Q8</f>
        <v>0</v>
      </c>
      <c r="V8" s="16">
        <v>0.0</v>
      </c>
      <c r="W8" s="16">
        <f t="shared" ref="W8:W22" si="9">AC8/26*24</f>
        <v>7153.846154</v>
      </c>
      <c r="X8" s="16">
        <f t="shared" ref="X8:X22" si="10">W8*D8</f>
        <v>572236.1538</v>
      </c>
      <c r="Y8" s="16"/>
      <c r="Z8" s="109">
        <f t="shared" ref="Z8:Z22" si="11">Y8*D8</f>
        <v>0</v>
      </c>
      <c r="AA8" s="114">
        <f t="shared" ref="AA8:AA24" si="12">Y8/W8</f>
        <v>0</v>
      </c>
      <c r="AB8" s="115">
        <f t="shared" ref="AB8:AB24" si="13">Y8-S8</f>
        <v>0</v>
      </c>
      <c r="AC8" s="116">
        <f t="shared" ref="AC8:AC22" si="14">E8*15.5</f>
        <v>7750</v>
      </c>
      <c r="AD8" s="117">
        <f t="shared" ref="AD8:AD22" si="15">AC8*D8</f>
        <v>619922.5</v>
      </c>
      <c r="AE8" s="118">
        <v>154.0</v>
      </c>
      <c r="AF8" s="118">
        <f t="shared" ref="AF8:AF22" si="16">AE8*D8</f>
        <v>12318.46</v>
      </c>
      <c r="AG8" s="98">
        <f t="shared" ref="AG8:AG24" si="17">AE8/AC8</f>
        <v>0.01987096774</v>
      </c>
      <c r="AH8" s="119"/>
    </row>
    <row r="9">
      <c r="A9" s="107">
        <v>2.0</v>
      </c>
      <c r="B9" s="108" t="s">
        <v>18</v>
      </c>
      <c r="C9" s="107" t="s">
        <v>17</v>
      </c>
      <c r="D9" s="107">
        <v>89.37</v>
      </c>
      <c r="E9" s="107">
        <v>500.0</v>
      </c>
      <c r="F9" s="16">
        <v>1788.0</v>
      </c>
      <c r="G9" s="109">
        <f t="shared" si="1"/>
        <v>159793.56</v>
      </c>
      <c r="H9" s="110"/>
      <c r="I9" s="111">
        <f t="shared" si="2"/>
        <v>0</v>
      </c>
      <c r="J9" s="112">
        <f t="shared" ref="J9:J24" si="18">H9/F9</f>
        <v>0</v>
      </c>
      <c r="K9" s="16">
        <v>3875.0</v>
      </c>
      <c r="L9" s="109">
        <f t="shared" si="3"/>
        <v>346308.75</v>
      </c>
      <c r="M9" s="16">
        <v>0.0</v>
      </c>
      <c r="N9" s="109">
        <f t="shared" si="4"/>
        <v>0</v>
      </c>
      <c r="O9" s="112">
        <f t="shared" si="5"/>
        <v>0</v>
      </c>
      <c r="P9" s="16">
        <f t="shared" ref="P9:P24" si="19">M9-H9</f>
        <v>0</v>
      </c>
      <c r="Q9" s="16">
        <v>5962.0</v>
      </c>
      <c r="R9" s="16">
        <f t="shared" si="6"/>
        <v>532823.94</v>
      </c>
      <c r="S9" s="16"/>
      <c r="T9" s="109">
        <f t="shared" si="7"/>
        <v>0</v>
      </c>
      <c r="U9" s="112">
        <f t="shared" si="8"/>
        <v>0</v>
      </c>
      <c r="V9" s="16">
        <v>0.0</v>
      </c>
      <c r="W9" s="16">
        <f t="shared" si="9"/>
        <v>7153.846154</v>
      </c>
      <c r="X9" s="16">
        <f t="shared" si="10"/>
        <v>639339.2308</v>
      </c>
      <c r="Y9" s="16"/>
      <c r="Z9" s="109">
        <f t="shared" si="11"/>
        <v>0</v>
      </c>
      <c r="AA9" s="114">
        <f t="shared" si="12"/>
        <v>0</v>
      </c>
      <c r="AB9" s="115">
        <f t="shared" si="13"/>
        <v>0</v>
      </c>
      <c r="AC9" s="116">
        <f t="shared" si="14"/>
        <v>7750</v>
      </c>
      <c r="AD9" s="117">
        <f t="shared" si="15"/>
        <v>692617.5</v>
      </c>
      <c r="AE9" s="118">
        <v>97.0</v>
      </c>
      <c r="AF9" s="118">
        <f t="shared" si="16"/>
        <v>8668.89</v>
      </c>
      <c r="AG9" s="98">
        <f t="shared" si="17"/>
        <v>0.01251612903</v>
      </c>
      <c r="AH9" s="119"/>
    </row>
    <row r="10">
      <c r="A10" s="107">
        <v>3.0</v>
      </c>
      <c r="B10" s="108" t="s">
        <v>19</v>
      </c>
      <c r="C10" s="107" t="s">
        <v>17</v>
      </c>
      <c r="D10" s="107">
        <v>112.5</v>
      </c>
      <c r="E10" s="107">
        <v>800.0</v>
      </c>
      <c r="F10" s="16">
        <v>2862.0</v>
      </c>
      <c r="G10" s="109">
        <f t="shared" si="1"/>
        <v>321975</v>
      </c>
      <c r="H10" s="110"/>
      <c r="I10" s="111">
        <f t="shared" si="2"/>
        <v>0</v>
      </c>
      <c r="J10" s="112">
        <f t="shared" si="18"/>
        <v>0</v>
      </c>
      <c r="K10" s="16">
        <v>6200.0</v>
      </c>
      <c r="L10" s="109">
        <f t="shared" si="3"/>
        <v>697500</v>
      </c>
      <c r="M10" s="16">
        <v>7854.0</v>
      </c>
      <c r="N10" s="109">
        <f t="shared" si="4"/>
        <v>883575</v>
      </c>
      <c r="O10" s="112">
        <f t="shared" si="5"/>
        <v>1.266774194</v>
      </c>
      <c r="P10" s="16">
        <f t="shared" si="19"/>
        <v>7854</v>
      </c>
      <c r="Q10" s="16">
        <v>9538.0</v>
      </c>
      <c r="R10" s="16">
        <f t="shared" si="6"/>
        <v>1073025</v>
      </c>
      <c r="S10" s="16"/>
      <c r="T10" s="109">
        <f t="shared" si="7"/>
        <v>0</v>
      </c>
      <c r="U10" s="112">
        <f t="shared" si="8"/>
        <v>0</v>
      </c>
      <c r="V10" s="16">
        <v>0.0</v>
      </c>
      <c r="W10" s="16">
        <f t="shared" si="9"/>
        <v>11446.15385</v>
      </c>
      <c r="X10" s="16">
        <f t="shared" si="10"/>
        <v>1287692.308</v>
      </c>
      <c r="Y10" s="16"/>
      <c r="Z10" s="109">
        <f t="shared" si="11"/>
        <v>0</v>
      </c>
      <c r="AA10" s="114">
        <f t="shared" si="12"/>
        <v>0</v>
      </c>
      <c r="AB10" s="115">
        <f t="shared" si="13"/>
        <v>0</v>
      </c>
      <c r="AC10" s="116">
        <f t="shared" si="14"/>
        <v>12400</v>
      </c>
      <c r="AD10" s="117">
        <f t="shared" si="15"/>
        <v>1395000</v>
      </c>
      <c r="AE10" s="118">
        <v>11506.0</v>
      </c>
      <c r="AF10" s="118">
        <f t="shared" si="16"/>
        <v>1294425</v>
      </c>
      <c r="AG10" s="98">
        <f t="shared" si="17"/>
        <v>0.9279032258</v>
      </c>
      <c r="AH10" s="119"/>
    </row>
    <row r="11">
      <c r="A11" s="107">
        <v>4.0</v>
      </c>
      <c r="B11" s="108" t="s">
        <v>20</v>
      </c>
      <c r="C11" s="107" t="s">
        <v>21</v>
      </c>
      <c r="D11" s="107">
        <v>55.23</v>
      </c>
      <c r="E11" s="107">
        <v>200.0</v>
      </c>
      <c r="F11" s="16">
        <v>715.0</v>
      </c>
      <c r="G11" s="109">
        <f t="shared" si="1"/>
        <v>39489.45</v>
      </c>
      <c r="H11" s="110"/>
      <c r="I11" s="111">
        <f t="shared" si="2"/>
        <v>0</v>
      </c>
      <c r="J11" s="112">
        <f t="shared" si="18"/>
        <v>0</v>
      </c>
      <c r="K11" s="16">
        <v>1550.0</v>
      </c>
      <c r="L11" s="109">
        <f t="shared" si="3"/>
        <v>85606.5</v>
      </c>
      <c r="M11" s="16">
        <v>10.0</v>
      </c>
      <c r="N11" s="109">
        <f t="shared" si="4"/>
        <v>552.3</v>
      </c>
      <c r="O11" s="112">
        <f t="shared" si="5"/>
        <v>0.006451612903</v>
      </c>
      <c r="P11" s="16">
        <f t="shared" si="19"/>
        <v>10</v>
      </c>
      <c r="Q11" s="16">
        <v>2385.0</v>
      </c>
      <c r="R11" s="16">
        <f t="shared" si="6"/>
        <v>131723.55</v>
      </c>
      <c r="S11" s="16"/>
      <c r="T11" s="109">
        <f t="shared" si="7"/>
        <v>0</v>
      </c>
      <c r="U11" s="112">
        <f t="shared" si="8"/>
        <v>0</v>
      </c>
      <c r="V11" s="16">
        <v>0.0</v>
      </c>
      <c r="W11" s="16">
        <f t="shared" si="9"/>
        <v>2861.538462</v>
      </c>
      <c r="X11" s="16">
        <f t="shared" si="10"/>
        <v>158042.7692</v>
      </c>
      <c r="Y11" s="16"/>
      <c r="Z11" s="109">
        <f t="shared" si="11"/>
        <v>0</v>
      </c>
      <c r="AA11" s="114">
        <f t="shared" si="12"/>
        <v>0</v>
      </c>
      <c r="AB11" s="115">
        <f t="shared" si="13"/>
        <v>0</v>
      </c>
      <c r="AC11" s="116">
        <f t="shared" si="14"/>
        <v>3100</v>
      </c>
      <c r="AD11" s="117">
        <f t="shared" si="15"/>
        <v>171213</v>
      </c>
      <c r="AE11" s="118">
        <v>20.0</v>
      </c>
      <c r="AF11" s="118">
        <f t="shared" si="16"/>
        <v>1104.6</v>
      </c>
      <c r="AG11" s="98">
        <f t="shared" si="17"/>
        <v>0.006451612903</v>
      </c>
      <c r="AH11" s="119"/>
    </row>
    <row r="12">
      <c r="A12" s="107">
        <v>5.0</v>
      </c>
      <c r="B12" s="108" t="s">
        <v>22</v>
      </c>
      <c r="C12" s="107" t="s">
        <v>23</v>
      </c>
      <c r="D12" s="107">
        <v>192.63</v>
      </c>
      <c r="E12" s="107">
        <v>192.0</v>
      </c>
      <c r="F12" s="16">
        <v>687.0</v>
      </c>
      <c r="G12" s="109">
        <f t="shared" si="1"/>
        <v>132336.81</v>
      </c>
      <c r="H12" s="120"/>
      <c r="I12" s="111">
        <f t="shared" si="2"/>
        <v>0</v>
      </c>
      <c r="J12" s="112">
        <f t="shared" si="18"/>
        <v>0</v>
      </c>
      <c r="K12" s="16">
        <v>1488.0</v>
      </c>
      <c r="L12" s="109">
        <f t="shared" si="3"/>
        <v>286633.44</v>
      </c>
      <c r="M12" s="16">
        <v>36.0</v>
      </c>
      <c r="N12" s="109">
        <f t="shared" si="4"/>
        <v>6934.68</v>
      </c>
      <c r="O12" s="112">
        <f t="shared" si="5"/>
        <v>0.02419354839</v>
      </c>
      <c r="P12" s="16">
        <f t="shared" si="19"/>
        <v>36</v>
      </c>
      <c r="Q12" s="16">
        <v>2289.0</v>
      </c>
      <c r="R12" s="16">
        <f t="shared" si="6"/>
        <v>440930.07</v>
      </c>
      <c r="S12" s="16"/>
      <c r="T12" s="109">
        <f t="shared" si="7"/>
        <v>0</v>
      </c>
      <c r="U12" s="112">
        <f t="shared" si="8"/>
        <v>0</v>
      </c>
      <c r="V12" s="16">
        <v>0.0</v>
      </c>
      <c r="W12" s="16">
        <f t="shared" si="9"/>
        <v>2747.076923</v>
      </c>
      <c r="X12" s="16">
        <f t="shared" si="10"/>
        <v>529169.4277</v>
      </c>
      <c r="Y12" s="16"/>
      <c r="Z12" s="109">
        <f t="shared" si="11"/>
        <v>0</v>
      </c>
      <c r="AA12" s="114">
        <f t="shared" si="12"/>
        <v>0</v>
      </c>
      <c r="AB12" s="115">
        <f t="shared" si="13"/>
        <v>0</v>
      </c>
      <c r="AC12" s="116">
        <f t="shared" si="14"/>
        <v>2976</v>
      </c>
      <c r="AD12" s="117">
        <f t="shared" si="15"/>
        <v>573266.88</v>
      </c>
      <c r="AE12" s="118">
        <v>53.0</v>
      </c>
      <c r="AF12" s="118">
        <f t="shared" si="16"/>
        <v>10209.39</v>
      </c>
      <c r="AG12" s="98">
        <f t="shared" si="17"/>
        <v>0.01780913978</v>
      </c>
      <c r="AH12" s="119"/>
    </row>
    <row r="13">
      <c r="A13" s="107">
        <v>6.0</v>
      </c>
      <c r="B13" s="108" t="s">
        <v>65</v>
      </c>
      <c r="C13" s="107" t="s">
        <v>23</v>
      </c>
      <c r="D13" s="107">
        <v>195.0</v>
      </c>
      <c r="E13" s="107">
        <v>30.0</v>
      </c>
      <c r="F13" s="16">
        <v>107.0</v>
      </c>
      <c r="G13" s="109">
        <f t="shared" si="1"/>
        <v>20865</v>
      </c>
      <c r="H13" s="110"/>
      <c r="I13" s="111">
        <f t="shared" si="2"/>
        <v>0</v>
      </c>
      <c r="J13" s="112">
        <f t="shared" si="18"/>
        <v>0</v>
      </c>
      <c r="K13" s="16">
        <v>233.0</v>
      </c>
      <c r="L13" s="109">
        <f t="shared" si="3"/>
        <v>45435</v>
      </c>
      <c r="M13" s="16">
        <v>11.0</v>
      </c>
      <c r="N13" s="109">
        <f t="shared" si="4"/>
        <v>2145</v>
      </c>
      <c r="O13" s="112">
        <f t="shared" si="5"/>
        <v>0.04721030043</v>
      </c>
      <c r="P13" s="16">
        <f t="shared" si="19"/>
        <v>11</v>
      </c>
      <c r="Q13" s="16">
        <v>358.0</v>
      </c>
      <c r="R13" s="16">
        <f t="shared" si="6"/>
        <v>69810</v>
      </c>
      <c r="S13" s="16"/>
      <c r="T13" s="109">
        <f t="shared" si="7"/>
        <v>0</v>
      </c>
      <c r="U13" s="112">
        <f t="shared" si="8"/>
        <v>0</v>
      </c>
      <c r="V13" s="16">
        <v>0.0</v>
      </c>
      <c r="W13" s="16">
        <f t="shared" si="9"/>
        <v>429.2307692</v>
      </c>
      <c r="X13" s="16">
        <f t="shared" si="10"/>
        <v>83700</v>
      </c>
      <c r="Y13" s="16"/>
      <c r="Z13" s="109">
        <f t="shared" si="11"/>
        <v>0</v>
      </c>
      <c r="AA13" s="114">
        <f t="shared" si="12"/>
        <v>0</v>
      </c>
      <c r="AB13" s="115">
        <f t="shared" si="13"/>
        <v>0</v>
      </c>
      <c r="AC13" s="116">
        <f t="shared" si="14"/>
        <v>465</v>
      </c>
      <c r="AD13" s="117">
        <f t="shared" si="15"/>
        <v>90675</v>
      </c>
      <c r="AE13" s="118">
        <v>33.0</v>
      </c>
      <c r="AF13" s="118">
        <f t="shared" si="16"/>
        <v>6435</v>
      </c>
      <c r="AG13" s="98">
        <f t="shared" si="17"/>
        <v>0.07096774194</v>
      </c>
      <c r="AH13" s="119"/>
    </row>
    <row r="14">
      <c r="A14" s="107">
        <v>7.0</v>
      </c>
      <c r="B14" s="108" t="s">
        <v>25</v>
      </c>
      <c r="C14" s="107" t="s">
        <v>23</v>
      </c>
      <c r="D14" s="107">
        <v>648.52</v>
      </c>
      <c r="E14" s="107">
        <v>30.0</v>
      </c>
      <c r="F14" s="16">
        <v>107.0</v>
      </c>
      <c r="G14" s="109">
        <f t="shared" si="1"/>
        <v>69391.64</v>
      </c>
      <c r="H14" s="110"/>
      <c r="I14" s="111">
        <f t="shared" si="2"/>
        <v>0</v>
      </c>
      <c r="J14" s="112">
        <f t="shared" si="18"/>
        <v>0</v>
      </c>
      <c r="K14" s="16">
        <v>233.0</v>
      </c>
      <c r="L14" s="109">
        <f t="shared" si="3"/>
        <v>151105.16</v>
      </c>
      <c r="M14" s="16">
        <v>4.0</v>
      </c>
      <c r="N14" s="109">
        <f t="shared" si="4"/>
        <v>2594.08</v>
      </c>
      <c r="O14" s="112">
        <f t="shared" si="5"/>
        <v>0.01716738197</v>
      </c>
      <c r="P14" s="16">
        <f t="shared" si="19"/>
        <v>4</v>
      </c>
      <c r="Q14" s="16">
        <v>358.0</v>
      </c>
      <c r="R14" s="16">
        <f t="shared" si="6"/>
        <v>232170.16</v>
      </c>
      <c r="S14" s="16"/>
      <c r="T14" s="109">
        <f t="shared" si="7"/>
        <v>0</v>
      </c>
      <c r="U14" s="112">
        <f t="shared" si="8"/>
        <v>0</v>
      </c>
      <c r="V14" s="16">
        <v>0.0</v>
      </c>
      <c r="W14" s="16">
        <f t="shared" si="9"/>
        <v>429.2307692</v>
      </c>
      <c r="X14" s="16">
        <f t="shared" si="10"/>
        <v>278364.7385</v>
      </c>
      <c r="Y14" s="16"/>
      <c r="Z14" s="109">
        <f t="shared" si="11"/>
        <v>0</v>
      </c>
      <c r="AA14" s="114">
        <f t="shared" si="12"/>
        <v>0</v>
      </c>
      <c r="AB14" s="115">
        <f t="shared" si="13"/>
        <v>0</v>
      </c>
      <c r="AC14" s="116">
        <f t="shared" si="14"/>
        <v>465</v>
      </c>
      <c r="AD14" s="117">
        <f t="shared" si="15"/>
        <v>301561.8</v>
      </c>
      <c r="AE14" s="118">
        <v>6.0</v>
      </c>
      <c r="AF14" s="118">
        <f t="shared" si="16"/>
        <v>3891.12</v>
      </c>
      <c r="AG14" s="98">
        <f t="shared" si="17"/>
        <v>0.01290322581</v>
      </c>
      <c r="AH14" s="119"/>
    </row>
    <row r="15">
      <c r="A15" s="107">
        <v>8.0</v>
      </c>
      <c r="B15" s="108" t="s">
        <v>26</v>
      </c>
      <c r="C15" s="107" t="s">
        <v>21</v>
      </c>
      <c r="D15" s="107">
        <v>51.0</v>
      </c>
      <c r="E15" s="107">
        <v>300.0</v>
      </c>
      <c r="F15" s="16">
        <v>1073.0</v>
      </c>
      <c r="G15" s="109">
        <f t="shared" si="1"/>
        <v>54723</v>
      </c>
      <c r="H15" s="110"/>
      <c r="I15" s="111">
        <f t="shared" si="2"/>
        <v>0</v>
      </c>
      <c r="J15" s="112">
        <f t="shared" si="18"/>
        <v>0</v>
      </c>
      <c r="K15" s="16">
        <v>2325.0</v>
      </c>
      <c r="L15" s="109">
        <f t="shared" si="3"/>
        <v>118575</v>
      </c>
      <c r="M15" s="16">
        <v>282.0</v>
      </c>
      <c r="N15" s="109">
        <f t="shared" si="4"/>
        <v>14382</v>
      </c>
      <c r="O15" s="112">
        <f t="shared" si="5"/>
        <v>0.1212903226</v>
      </c>
      <c r="P15" s="16">
        <f t="shared" si="19"/>
        <v>282</v>
      </c>
      <c r="Q15" s="16">
        <v>3577.0</v>
      </c>
      <c r="R15" s="16">
        <f t="shared" si="6"/>
        <v>182427</v>
      </c>
      <c r="S15" s="16"/>
      <c r="T15" s="109">
        <f t="shared" si="7"/>
        <v>0</v>
      </c>
      <c r="U15" s="112">
        <f t="shared" si="8"/>
        <v>0</v>
      </c>
      <c r="V15" s="16">
        <v>0.0</v>
      </c>
      <c r="W15" s="16">
        <f t="shared" si="9"/>
        <v>4292.307692</v>
      </c>
      <c r="X15" s="16">
        <f t="shared" si="10"/>
        <v>218907.6923</v>
      </c>
      <c r="Y15" s="16"/>
      <c r="Z15" s="109">
        <f t="shared" si="11"/>
        <v>0</v>
      </c>
      <c r="AA15" s="114">
        <f t="shared" si="12"/>
        <v>0</v>
      </c>
      <c r="AB15" s="115">
        <f t="shared" si="13"/>
        <v>0</v>
      </c>
      <c r="AC15" s="116">
        <f t="shared" si="14"/>
        <v>4650</v>
      </c>
      <c r="AD15" s="117">
        <f t="shared" si="15"/>
        <v>237150</v>
      </c>
      <c r="AE15" s="118">
        <v>518.0</v>
      </c>
      <c r="AF15" s="118">
        <f t="shared" si="16"/>
        <v>26418</v>
      </c>
      <c r="AG15" s="98">
        <f t="shared" si="17"/>
        <v>0.1113978495</v>
      </c>
      <c r="AH15" s="119"/>
    </row>
    <row r="16">
      <c r="A16" s="107">
        <v>9.0</v>
      </c>
      <c r="B16" s="108" t="s">
        <v>27</v>
      </c>
      <c r="C16" s="107" t="s">
        <v>28</v>
      </c>
      <c r="D16" s="107">
        <v>189.25</v>
      </c>
      <c r="E16" s="107">
        <v>560.0</v>
      </c>
      <c r="F16" s="16">
        <v>2003.0</v>
      </c>
      <c r="G16" s="109">
        <f t="shared" si="1"/>
        <v>379067.75</v>
      </c>
      <c r="H16" s="110"/>
      <c r="I16" s="111">
        <f t="shared" si="2"/>
        <v>0</v>
      </c>
      <c r="J16" s="112">
        <f t="shared" si="18"/>
        <v>0</v>
      </c>
      <c r="K16" s="16">
        <v>4340.0</v>
      </c>
      <c r="L16" s="109">
        <f t="shared" si="3"/>
        <v>821345</v>
      </c>
      <c r="M16" s="16">
        <v>255.0</v>
      </c>
      <c r="N16" s="109">
        <f t="shared" si="4"/>
        <v>48258.75</v>
      </c>
      <c r="O16" s="112">
        <f t="shared" si="5"/>
        <v>0.05875576037</v>
      </c>
      <c r="P16" s="16">
        <f t="shared" si="19"/>
        <v>255</v>
      </c>
      <c r="Q16" s="16">
        <v>6677.0</v>
      </c>
      <c r="R16" s="16">
        <f t="shared" si="6"/>
        <v>1263622.25</v>
      </c>
      <c r="S16" s="16"/>
      <c r="T16" s="109">
        <f t="shared" si="7"/>
        <v>0</v>
      </c>
      <c r="U16" s="112">
        <f t="shared" si="8"/>
        <v>0</v>
      </c>
      <c r="V16" s="16">
        <v>0.0</v>
      </c>
      <c r="W16" s="16">
        <f t="shared" si="9"/>
        <v>8012.307692</v>
      </c>
      <c r="X16" s="16">
        <f t="shared" si="10"/>
        <v>1516329.231</v>
      </c>
      <c r="Y16" s="16"/>
      <c r="Z16" s="109">
        <f t="shared" si="11"/>
        <v>0</v>
      </c>
      <c r="AA16" s="114">
        <f t="shared" si="12"/>
        <v>0</v>
      </c>
      <c r="AB16" s="115">
        <f t="shared" si="13"/>
        <v>0</v>
      </c>
      <c r="AC16" s="116">
        <f t="shared" si="14"/>
        <v>8680</v>
      </c>
      <c r="AD16" s="117">
        <f t="shared" si="15"/>
        <v>1642690</v>
      </c>
      <c r="AE16" s="118">
        <v>2.0</v>
      </c>
      <c r="AF16" s="118">
        <f t="shared" si="16"/>
        <v>378.5</v>
      </c>
      <c r="AG16" s="98">
        <f t="shared" si="17"/>
        <v>0.0002304147465</v>
      </c>
      <c r="AH16" s="119"/>
    </row>
    <row r="17">
      <c r="A17" s="107">
        <v>10.0</v>
      </c>
      <c r="B17" s="108" t="s">
        <v>29</v>
      </c>
      <c r="C17" s="107" t="s">
        <v>30</v>
      </c>
      <c r="D17" s="107">
        <v>128.86</v>
      </c>
      <c r="E17" s="107">
        <v>550.0</v>
      </c>
      <c r="F17" s="16">
        <v>1967.0</v>
      </c>
      <c r="G17" s="109">
        <f t="shared" si="1"/>
        <v>253467.62</v>
      </c>
      <c r="H17" s="110"/>
      <c r="I17" s="111">
        <f t="shared" si="2"/>
        <v>0</v>
      </c>
      <c r="J17" s="112">
        <f t="shared" si="18"/>
        <v>0</v>
      </c>
      <c r="K17" s="16">
        <v>4263.0</v>
      </c>
      <c r="L17" s="109">
        <f t="shared" si="3"/>
        <v>549330.18</v>
      </c>
      <c r="M17" s="16">
        <v>0.0</v>
      </c>
      <c r="N17" s="109">
        <f t="shared" si="4"/>
        <v>0</v>
      </c>
      <c r="O17" s="112">
        <f t="shared" si="5"/>
        <v>0</v>
      </c>
      <c r="P17" s="16">
        <f t="shared" si="19"/>
        <v>0</v>
      </c>
      <c r="Q17" s="16">
        <v>6558.0</v>
      </c>
      <c r="R17" s="16">
        <f t="shared" si="6"/>
        <v>845063.88</v>
      </c>
      <c r="S17" s="16"/>
      <c r="T17" s="109">
        <f t="shared" si="7"/>
        <v>0</v>
      </c>
      <c r="U17" s="112">
        <f t="shared" si="8"/>
        <v>0</v>
      </c>
      <c r="V17" s="16">
        <f>S17-M17</f>
        <v>0</v>
      </c>
      <c r="W17" s="16">
        <f t="shared" si="9"/>
        <v>7869.230769</v>
      </c>
      <c r="X17" s="16">
        <f t="shared" si="10"/>
        <v>1014029.077</v>
      </c>
      <c r="Y17" s="16"/>
      <c r="Z17" s="109">
        <f t="shared" si="11"/>
        <v>0</v>
      </c>
      <c r="AA17" s="114">
        <f t="shared" si="12"/>
        <v>0</v>
      </c>
      <c r="AB17" s="115">
        <f t="shared" si="13"/>
        <v>0</v>
      </c>
      <c r="AC17" s="116">
        <f t="shared" si="14"/>
        <v>8525</v>
      </c>
      <c r="AD17" s="117">
        <f t="shared" si="15"/>
        <v>1098531.5</v>
      </c>
      <c r="AE17" s="118">
        <v>488.0</v>
      </c>
      <c r="AF17" s="118">
        <f t="shared" si="16"/>
        <v>62883.68</v>
      </c>
      <c r="AG17" s="98">
        <f t="shared" si="17"/>
        <v>0.05724340176</v>
      </c>
      <c r="AH17" s="119"/>
    </row>
    <row r="18">
      <c r="A18" s="107">
        <v>11.0</v>
      </c>
      <c r="B18" s="108" t="s">
        <v>31</v>
      </c>
      <c r="C18" s="107" t="s">
        <v>32</v>
      </c>
      <c r="D18" s="107">
        <v>94.9</v>
      </c>
      <c r="E18" s="107">
        <v>650.0</v>
      </c>
      <c r="F18" s="16">
        <v>2325.0</v>
      </c>
      <c r="G18" s="109">
        <f t="shared" si="1"/>
        <v>220642.5</v>
      </c>
      <c r="H18" s="110"/>
      <c r="I18" s="111">
        <f t="shared" si="2"/>
        <v>0</v>
      </c>
      <c r="J18" s="112">
        <f t="shared" si="18"/>
        <v>0</v>
      </c>
      <c r="K18" s="16">
        <v>5038.0</v>
      </c>
      <c r="L18" s="109">
        <f t="shared" si="3"/>
        <v>478106.2</v>
      </c>
      <c r="M18" s="16">
        <v>324.0</v>
      </c>
      <c r="N18" s="109">
        <f t="shared" si="4"/>
        <v>30747.6</v>
      </c>
      <c r="O18" s="112">
        <f t="shared" si="5"/>
        <v>0.06431123462</v>
      </c>
      <c r="P18" s="16">
        <f t="shared" si="19"/>
        <v>324</v>
      </c>
      <c r="Q18" s="16">
        <v>7750.0</v>
      </c>
      <c r="R18" s="16">
        <f t="shared" si="6"/>
        <v>735475</v>
      </c>
      <c r="S18" s="16"/>
      <c r="T18" s="109">
        <f t="shared" si="7"/>
        <v>0</v>
      </c>
      <c r="U18" s="112">
        <f t="shared" si="8"/>
        <v>0</v>
      </c>
      <c r="V18" s="16">
        <v>0.0</v>
      </c>
      <c r="W18" s="16">
        <f t="shared" si="9"/>
        <v>9300</v>
      </c>
      <c r="X18" s="16">
        <f t="shared" si="10"/>
        <v>882570</v>
      </c>
      <c r="Y18" s="16"/>
      <c r="Z18" s="109">
        <f t="shared" si="11"/>
        <v>0</v>
      </c>
      <c r="AA18" s="114">
        <f t="shared" si="12"/>
        <v>0</v>
      </c>
      <c r="AB18" s="115">
        <f t="shared" si="13"/>
        <v>0</v>
      </c>
      <c r="AC18" s="116">
        <f t="shared" si="14"/>
        <v>10075</v>
      </c>
      <c r="AD18" s="117">
        <f t="shared" si="15"/>
        <v>956117.5</v>
      </c>
      <c r="AE18" s="118">
        <v>630.0</v>
      </c>
      <c r="AF18" s="118">
        <f t="shared" si="16"/>
        <v>59787</v>
      </c>
      <c r="AG18" s="98">
        <f t="shared" si="17"/>
        <v>0.06253101737</v>
      </c>
      <c r="AH18" s="119"/>
    </row>
    <row r="19">
      <c r="A19" s="107">
        <v>12.0</v>
      </c>
      <c r="B19" s="108" t="s">
        <v>33</v>
      </c>
      <c r="C19" s="107" t="s">
        <v>34</v>
      </c>
      <c r="D19" s="107">
        <v>85.33</v>
      </c>
      <c r="E19" s="107">
        <v>550.0</v>
      </c>
      <c r="F19" s="16">
        <v>1967.0</v>
      </c>
      <c r="G19" s="109">
        <f t="shared" si="1"/>
        <v>167844.11</v>
      </c>
      <c r="H19" s="110"/>
      <c r="I19" s="111">
        <f t="shared" si="2"/>
        <v>0</v>
      </c>
      <c r="J19" s="112">
        <f t="shared" si="18"/>
        <v>0</v>
      </c>
      <c r="K19" s="16">
        <v>4263.0</v>
      </c>
      <c r="L19" s="109">
        <f t="shared" si="3"/>
        <v>363761.79</v>
      </c>
      <c r="M19" s="16">
        <v>540.0</v>
      </c>
      <c r="N19" s="109">
        <f t="shared" si="4"/>
        <v>46078.2</v>
      </c>
      <c r="O19" s="112">
        <f t="shared" si="5"/>
        <v>0.1266713582</v>
      </c>
      <c r="P19" s="16">
        <f t="shared" si="19"/>
        <v>540</v>
      </c>
      <c r="Q19" s="16">
        <v>6558.0</v>
      </c>
      <c r="R19" s="16">
        <f t="shared" si="6"/>
        <v>559594.14</v>
      </c>
      <c r="S19" s="16"/>
      <c r="T19" s="109">
        <f t="shared" si="7"/>
        <v>0</v>
      </c>
      <c r="U19" s="112">
        <f t="shared" si="8"/>
        <v>0</v>
      </c>
      <c r="V19" s="16">
        <v>0.0</v>
      </c>
      <c r="W19" s="16">
        <f t="shared" si="9"/>
        <v>7869.230769</v>
      </c>
      <c r="X19" s="16">
        <f t="shared" si="10"/>
        <v>671481.4615</v>
      </c>
      <c r="Y19" s="16"/>
      <c r="Z19" s="109">
        <f t="shared" si="11"/>
        <v>0</v>
      </c>
      <c r="AA19" s="114">
        <f t="shared" si="12"/>
        <v>0</v>
      </c>
      <c r="AB19" s="115">
        <f t="shared" si="13"/>
        <v>0</v>
      </c>
      <c r="AC19" s="116">
        <f t="shared" si="14"/>
        <v>8525</v>
      </c>
      <c r="AD19" s="117">
        <f t="shared" si="15"/>
        <v>727438.25</v>
      </c>
      <c r="AE19" s="118">
        <v>1563.0</v>
      </c>
      <c r="AF19" s="118">
        <f t="shared" si="16"/>
        <v>133370.79</v>
      </c>
      <c r="AG19" s="98">
        <f t="shared" si="17"/>
        <v>0.1833431085</v>
      </c>
      <c r="AH19" s="119"/>
    </row>
    <row r="20">
      <c r="A20" s="107">
        <v>13.0</v>
      </c>
      <c r="B20" s="108" t="s">
        <v>35</v>
      </c>
      <c r="C20" s="107" t="s">
        <v>34</v>
      </c>
      <c r="D20" s="107">
        <v>64.65</v>
      </c>
      <c r="E20" s="107">
        <v>200.0</v>
      </c>
      <c r="F20" s="16">
        <v>715.0</v>
      </c>
      <c r="G20" s="109">
        <f t="shared" si="1"/>
        <v>46224.75</v>
      </c>
      <c r="H20" s="110"/>
      <c r="I20" s="111">
        <f t="shared" si="2"/>
        <v>0</v>
      </c>
      <c r="J20" s="112">
        <f t="shared" si="18"/>
        <v>0</v>
      </c>
      <c r="K20" s="16">
        <v>1550.0</v>
      </c>
      <c r="L20" s="109">
        <f t="shared" si="3"/>
        <v>100207.5</v>
      </c>
      <c r="M20" s="16">
        <v>0.0</v>
      </c>
      <c r="N20" s="109">
        <f t="shared" si="4"/>
        <v>0</v>
      </c>
      <c r="O20" s="112">
        <f t="shared" si="5"/>
        <v>0</v>
      </c>
      <c r="P20" s="16">
        <f t="shared" si="19"/>
        <v>0</v>
      </c>
      <c r="Q20" s="16">
        <v>2385.0</v>
      </c>
      <c r="R20" s="16">
        <f t="shared" si="6"/>
        <v>154190.25</v>
      </c>
      <c r="S20" s="16"/>
      <c r="T20" s="109">
        <f t="shared" si="7"/>
        <v>0</v>
      </c>
      <c r="U20" s="112">
        <f t="shared" si="8"/>
        <v>0</v>
      </c>
      <c r="V20" s="16">
        <f>S20-M20</f>
        <v>0</v>
      </c>
      <c r="W20" s="16">
        <f t="shared" si="9"/>
        <v>2861.538462</v>
      </c>
      <c r="X20" s="16">
        <f t="shared" si="10"/>
        <v>184998.4615</v>
      </c>
      <c r="Y20" s="16"/>
      <c r="Z20" s="109">
        <f t="shared" si="11"/>
        <v>0</v>
      </c>
      <c r="AA20" s="114">
        <f t="shared" si="12"/>
        <v>0</v>
      </c>
      <c r="AB20" s="115">
        <f t="shared" si="13"/>
        <v>0</v>
      </c>
      <c r="AC20" s="116">
        <f t="shared" si="14"/>
        <v>3100</v>
      </c>
      <c r="AD20" s="117">
        <f t="shared" si="15"/>
        <v>200415</v>
      </c>
      <c r="AE20" s="118">
        <v>0.0</v>
      </c>
      <c r="AF20" s="118">
        <f t="shared" si="16"/>
        <v>0</v>
      </c>
      <c r="AG20" s="98">
        <f t="shared" si="17"/>
        <v>0</v>
      </c>
      <c r="AH20" s="119"/>
    </row>
    <row r="21" ht="15.75" customHeight="1">
      <c r="A21" s="107">
        <v>14.0</v>
      </c>
      <c r="B21" s="108" t="s">
        <v>66</v>
      </c>
      <c r="C21" s="107" t="s">
        <v>28</v>
      </c>
      <c r="D21" s="107">
        <v>99.39</v>
      </c>
      <c r="E21" s="107">
        <v>150.0</v>
      </c>
      <c r="F21" s="16">
        <v>537.0</v>
      </c>
      <c r="G21" s="109">
        <f t="shared" si="1"/>
        <v>53372.43</v>
      </c>
      <c r="H21" s="110"/>
      <c r="I21" s="111">
        <f t="shared" si="2"/>
        <v>0</v>
      </c>
      <c r="J21" s="112">
        <f t="shared" si="18"/>
        <v>0</v>
      </c>
      <c r="K21" s="16">
        <v>1163.0</v>
      </c>
      <c r="L21" s="109">
        <f t="shared" si="3"/>
        <v>115590.57</v>
      </c>
      <c r="M21" s="16">
        <v>11.0</v>
      </c>
      <c r="N21" s="109">
        <f t="shared" si="4"/>
        <v>1093.29</v>
      </c>
      <c r="O21" s="112">
        <f t="shared" si="5"/>
        <v>0.009458297506</v>
      </c>
      <c r="P21" s="16">
        <f t="shared" si="19"/>
        <v>11</v>
      </c>
      <c r="Q21" s="16">
        <v>1788.0</v>
      </c>
      <c r="R21" s="16">
        <f t="shared" si="6"/>
        <v>177709.32</v>
      </c>
      <c r="S21" s="16"/>
      <c r="T21" s="109">
        <f t="shared" si="7"/>
        <v>0</v>
      </c>
      <c r="U21" s="112">
        <f t="shared" si="8"/>
        <v>0</v>
      </c>
      <c r="V21" s="16">
        <v>0.0</v>
      </c>
      <c r="W21" s="16">
        <f t="shared" si="9"/>
        <v>2146.153846</v>
      </c>
      <c r="X21" s="16">
        <f t="shared" si="10"/>
        <v>213306.2308</v>
      </c>
      <c r="Y21" s="16"/>
      <c r="Z21" s="109">
        <f t="shared" si="11"/>
        <v>0</v>
      </c>
      <c r="AA21" s="114">
        <f t="shared" si="12"/>
        <v>0</v>
      </c>
      <c r="AB21" s="115">
        <f t="shared" si="13"/>
        <v>0</v>
      </c>
      <c r="AC21" s="116">
        <f t="shared" si="14"/>
        <v>2325</v>
      </c>
      <c r="AD21" s="117">
        <f t="shared" si="15"/>
        <v>231081.75</v>
      </c>
      <c r="AE21" s="118">
        <v>22.0</v>
      </c>
      <c r="AF21" s="118">
        <f t="shared" si="16"/>
        <v>2186.58</v>
      </c>
      <c r="AG21" s="98">
        <f t="shared" si="17"/>
        <v>0.009462365591</v>
      </c>
      <c r="AH21" s="119"/>
    </row>
    <row r="22" ht="21.0" customHeight="1">
      <c r="A22" s="121">
        <v>15.0</v>
      </c>
      <c r="B22" s="122" t="s">
        <v>37</v>
      </c>
      <c r="C22" s="121" t="s">
        <v>21</v>
      </c>
      <c r="D22" s="121">
        <v>89.64</v>
      </c>
      <c r="E22" s="123">
        <v>300.0</v>
      </c>
      <c r="F22" s="16">
        <v>1075.0</v>
      </c>
      <c r="G22" s="109">
        <f t="shared" si="1"/>
        <v>96363</v>
      </c>
      <c r="H22" s="110"/>
      <c r="I22" s="111">
        <f t="shared" si="2"/>
        <v>0</v>
      </c>
      <c r="J22" s="112">
        <f t="shared" si="18"/>
        <v>0</v>
      </c>
      <c r="K22" s="16">
        <v>2325.0</v>
      </c>
      <c r="L22" s="109">
        <f t="shared" si="3"/>
        <v>208413</v>
      </c>
      <c r="M22" s="116">
        <v>208.0</v>
      </c>
      <c r="N22" s="109">
        <f t="shared" si="4"/>
        <v>18645.12</v>
      </c>
      <c r="O22" s="112">
        <f t="shared" si="5"/>
        <v>0.08946236559</v>
      </c>
      <c r="P22" s="16">
        <f t="shared" si="19"/>
        <v>208</v>
      </c>
      <c r="Q22" s="16">
        <v>3577.0</v>
      </c>
      <c r="R22" s="16">
        <f t="shared" si="6"/>
        <v>320642.28</v>
      </c>
      <c r="S22" s="116"/>
      <c r="T22" s="109">
        <f t="shared" si="7"/>
        <v>0</v>
      </c>
      <c r="U22" s="112">
        <f t="shared" si="8"/>
        <v>0</v>
      </c>
      <c r="V22" s="16">
        <v>0.0</v>
      </c>
      <c r="W22" s="16">
        <f t="shared" si="9"/>
        <v>4292.307692</v>
      </c>
      <c r="X22" s="16">
        <f t="shared" si="10"/>
        <v>384762.4615</v>
      </c>
      <c r="Y22" s="116"/>
      <c r="Z22" s="109">
        <f t="shared" si="11"/>
        <v>0</v>
      </c>
      <c r="AA22" s="114">
        <f t="shared" si="12"/>
        <v>0</v>
      </c>
      <c r="AB22" s="115">
        <f t="shared" si="13"/>
        <v>0</v>
      </c>
      <c r="AC22" s="116">
        <f t="shared" si="14"/>
        <v>4650</v>
      </c>
      <c r="AD22" s="117">
        <f t="shared" si="15"/>
        <v>416826</v>
      </c>
      <c r="AE22" s="118">
        <v>446.0</v>
      </c>
      <c r="AF22" s="118">
        <f t="shared" si="16"/>
        <v>39979.44</v>
      </c>
      <c r="AG22" s="98">
        <f t="shared" si="17"/>
        <v>0.09591397849</v>
      </c>
      <c r="AH22" s="119"/>
    </row>
    <row r="23" ht="31.5" customHeight="1">
      <c r="A23" s="124" t="s">
        <v>67</v>
      </c>
      <c r="B23" s="125"/>
      <c r="C23" s="126"/>
      <c r="D23" s="53"/>
      <c r="E23" s="127">
        <f t="shared" ref="E23:I23" si="20">SUM(E8:E22)</f>
        <v>5512</v>
      </c>
      <c r="F23" s="70">
        <f t="shared" si="20"/>
        <v>19716</v>
      </c>
      <c r="G23" s="70">
        <f t="shared" si="20"/>
        <v>2158578.74</v>
      </c>
      <c r="H23" s="70">
        <f t="shared" si="20"/>
        <v>0</v>
      </c>
      <c r="I23" s="70">
        <f t="shared" si="20"/>
        <v>0</v>
      </c>
      <c r="J23" s="71">
        <f t="shared" si="18"/>
        <v>0</v>
      </c>
      <c r="K23" s="70">
        <f t="shared" ref="K23:N23" si="21">SUM(K8:K22)</f>
        <v>42721</v>
      </c>
      <c r="L23" s="70">
        <f t="shared" si="21"/>
        <v>4677879.34</v>
      </c>
      <c r="M23" s="70">
        <f t="shared" si="21"/>
        <v>9578</v>
      </c>
      <c r="N23" s="70">
        <f t="shared" si="21"/>
        <v>1058445.59</v>
      </c>
      <c r="O23" s="71">
        <f t="shared" si="5"/>
        <v>0.2241988717</v>
      </c>
      <c r="P23" s="128">
        <f t="shared" si="19"/>
        <v>9578</v>
      </c>
      <c r="Q23" s="70">
        <f t="shared" ref="Q23:T23" si="22">SUM(Q8:Q22)</f>
        <v>65722</v>
      </c>
      <c r="R23" s="70">
        <f t="shared" si="22"/>
        <v>7196107.22</v>
      </c>
      <c r="S23" s="70">
        <f t="shared" si="22"/>
        <v>0</v>
      </c>
      <c r="T23" s="129">
        <f t="shared" si="22"/>
        <v>0</v>
      </c>
      <c r="U23" s="130">
        <f t="shared" si="8"/>
        <v>0</v>
      </c>
      <c r="V23" s="131">
        <v>0.0</v>
      </c>
      <c r="W23" s="70">
        <f t="shared" ref="W23:Z23" si="23">SUM(W8:W22)</f>
        <v>78864</v>
      </c>
      <c r="X23" s="70">
        <f t="shared" si="23"/>
        <v>8634929.243</v>
      </c>
      <c r="Y23" s="70">
        <f t="shared" si="23"/>
        <v>0</v>
      </c>
      <c r="Z23" s="132">
        <f t="shared" si="23"/>
        <v>0</v>
      </c>
      <c r="AA23" s="130">
        <f t="shared" si="12"/>
        <v>0</v>
      </c>
      <c r="AB23" s="133">
        <f t="shared" si="13"/>
        <v>0</v>
      </c>
      <c r="AC23" s="70">
        <f t="shared" ref="AC23:AD23" si="24">SUM(AC8:AC22)</f>
        <v>85436</v>
      </c>
      <c r="AD23" s="70">
        <f t="shared" si="24"/>
        <v>9354506.68</v>
      </c>
      <c r="AE23" s="70">
        <v>15538.0</v>
      </c>
      <c r="AF23" s="70">
        <f>SUM(AF8:AF22)</f>
        <v>1662056.45</v>
      </c>
      <c r="AG23" s="71">
        <f t="shared" si="17"/>
        <v>0.1818671286</v>
      </c>
      <c r="AH23" s="58"/>
    </row>
    <row r="24" ht="34.5" customHeight="1">
      <c r="A24" s="41" t="s">
        <v>68</v>
      </c>
      <c r="B24" s="7"/>
      <c r="C24" s="7"/>
      <c r="D24" s="7"/>
      <c r="E24" s="8"/>
      <c r="F24" s="70">
        <f>G23</f>
        <v>2158578.74</v>
      </c>
      <c r="G24" s="70"/>
      <c r="H24" s="70">
        <v>0.0</v>
      </c>
      <c r="I24" s="70"/>
      <c r="J24" s="71">
        <f t="shared" si="18"/>
        <v>0</v>
      </c>
      <c r="K24" s="70">
        <f>L23</f>
        <v>4677879.34</v>
      </c>
      <c r="L24" s="70"/>
      <c r="M24" s="70">
        <f>N23</f>
        <v>1058445.59</v>
      </c>
      <c r="N24" s="70"/>
      <c r="O24" s="71">
        <f t="shared" si="5"/>
        <v>0.2262661161</v>
      </c>
      <c r="P24" s="134">
        <f t="shared" si="19"/>
        <v>1058445.59</v>
      </c>
      <c r="Q24" s="70">
        <f>R23</f>
        <v>7196107.22</v>
      </c>
      <c r="R24" s="70"/>
      <c r="S24" s="70">
        <f>T23</f>
        <v>0</v>
      </c>
      <c r="T24" s="70"/>
      <c r="U24" s="71">
        <f t="shared" si="8"/>
        <v>0</v>
      </c>
      <c r="V24" s="134">
        <v>0.0</v>
      </c>
      <c r="W24" s="70">
        <f>X23</f>
        <v>8634929.243</v>
      </c>
      <c r="X24" s="70"/>
      <c r="Y24" s="70">
        <f>Z23</f>
        <v>0</v>
      </c>
      <c r="Z24" s="132"/>
      <c r="AA24" s="71">
        <f t="shared" si="12"/>
        <v>0</v>
      </c>
      <c r="AB24" s="135">
        <f t="shared" si="13"/>
        <v>0</v>
      </c>
      <c r="AC24" s="70">
        <v>9283206.68</v>
      </c>
      <c r="AD24" s="70"/>
      <c r="AE24" s="70">
        <f>AF23</f>
        <v>1662056.45</v>
      </c>
      <c r="AF24" s="70"/>
      <c r="AG24" s="71">
        <f t="shared" si="17"/>
        <v>0.1790390441</v>
      </c>
    </row>
    <row r="25" ht="15.75" customHeight="1">
      <c r="D25" s="42"/>
      <c r="E25" s="42"/>
    </row>
    <row r="26" ht="15.75" customHeight="1">
      <c r="D26" s="42"/>
      <c r="E26" s="42"/>
    </row>
    <row r="27" ht="15.75" customHeight="1">
      <c r="D27" s="42"/>
      <c r="E27" s="42"/>
    </row>
    <row r="28" ht="15.75" customHeight="1">
      <c r="D28" s="42"/>
      <c r="E28" s="42"/>
    </row>
    <row r="29" ht="15.75" customHeight="1">
      <c r="D29" s="42"/>
      <c r="E29" s="42"/>
      <c r="AA29" s="136"/>
    </row>
    <row r="30" ht="15.75" customHeight="1">
      <c r="D30" s="42"/>
      <c r="E30" s="42"/>
    </row>
    <row r="31" ht="15.75" customHeight="1">
      <c r="D31" s="42"/>
      <c r="E31" s="42"/>
    </row>
    <row r="32" ht="15.75" customHeight="1">
      <c r="D32" s="42"/>
      <c r="E32" s="42"/>
    </row>
    <row r="33" ht="15.75" customHeight="1">
      <c r="D33" s="42"/>
      <c r="E33" s="42"/>
    </row>
    <row r="34" ht="15.75" customHeight="1">
      <c r="D34" s="42"/>
      <c r="E34" s="42"/>
    </row>
    <row r="35" ht="15.75" customHeight="1">
      <c r="D35" s="42"/>
      <c r="E35" s="42"/>
    </row>
    <row r="36" ht="15.75" customHeight="1">
      <c r="D36" s="42"/>
      <c r="E36" s="42"/>
    </row>
    <row r="37" ht="15.75" customHeight="1">
      <c r="D37" s="42"/>
      <c r="E37" s="42"/>
    </row>
    <row r="38" ht="15.75" customHeight="1">
      <c r="D38" s="42"/>
      <c r="E38" s="42"/>
    </row>
    <row r="39" ht="15.75" customHeight="1">
      <c r="D39" s="42"/>
      <c r="E39" s="42"/>
    </row>
    <row r="40" ht="15.75" customHeight="1">
      <c r="D40" s="42"/>
      <c r="E40" s="42"/>
    </row>
    <row r="41" ht="15.75" customHeight="1">
      <c r="D41" s="42"/>
      <c r="E41" s="42"/>
    </row>
    <row r="42" ht="15.75" customHeight="1">
      <c r="D42" s="42"/>
      <c r="E42" s="42"/>
    </row>
    <row r="43" ht="15.75" customHeight="1">
      <c r="D43" s="42"/>
      <c r="E43" s="42"/>
    </row>
    <row r="44" ht="15.75" customHeight="1">
      <c r="D44" s="42"/>
      <c r="E44" s="42"/>
    </row>
    <row r="45" ht="15.75" customHeight="1">
      <c r="D45" s="42"/>
      <c r="E45" s="42"/>
    </row>
    <row r="46" ht="15.75" customHeight="1">
      <c r="D46" s="42"/>
      <c r="E46" s="42"/>
    </row>
    <row r="47" ht="15.75" customHeight="1">
      <c r="D47" s="42"/>
      <c r="E47" s="42"/>
    </row>
    <row r="48" ht="15.75" customHeight="1">
      <c r="D48" s="42"/>
      <c r="E48" s="42"/>
    </row>
    <row r="49" ht="15.75" customHeight="1">
      <c r="D49" s="42"/>
      <c r="E49" s="42"/>
    </row>
    <row r="50" ht="15.75" customHeight="1">
      <c r="D50" s="42"/>
      <c r="E50" s="42"/>
    </row>
    <row r="51" ht="15.75" customHeight="1">
      <c r="D51" s="42"/>
      <c r="E51" s="42"/>
    </row>
    <row r="52" ht="15.75" customHeight="1">
      <c r="D52" s="42"/>
      <c r="E52" s="42"/>
    </row>
    <row r="53" ht="15.75" customHeight="1">
      <c r="D53" s="42"/>
      <c r="E53" s="42"/>
    </row>
    <row r="54" ht="15.75" customHeight="1">
      <c r="D54" s="42"/>
      <c r="E54" s="42"/>
    </row>
    <row r="55" ht="15.75" customHeight="1">
      <c r="D55" s="42"/>
      <c r="E55" s="42"/>
    </row>
    <row r="56" ht="15.75" customHeight="1">
      <c r="D56" s="42"/>
      <c r="E56" s="42"/>
    </row>
    <row r="57" ht="15.75" customHeight="1">
      <c r="D57" s="42"/>
      <c r="E57" s="42"/>
    </row>
    <row r="58" ht="15.75" customHeight="1">
      <c r="D58" s="42"/>
      <c r="E58" s="42"/>
    </row>
    <row r="59" ht="15.75" customHeight="1">
      <c r="D59" s="42"/>
      <c r="E59" s="42"/>
    </row>
    <row r="60" ht="15.75" customHeight="1">
      <c r="D60" s="42"/>
      <c r="E60" s="42"/>
    </row>
    <row r="61" ht="15.75" customHeight="1">
      <c r="D61" s="42"/>
      <c r="E61" s="42"/>
    </row>
    <row r="62" ht="15.75" customHeight="1">
      <c r="D62" s="42"/>
      <c r="E62" s="42"/>
    </row>
    <row r="63" ht="15.75" customHeight="1">
      <c r="D63" s="42"/>
      <c r="E63" s="42"/>
    </row>
    <row r="64" ht="15.75" customHeight="1">
      <c r="D64" s="42"/>
      <c r="E64" s="42"/>
    </row>
    <row r="65" ht="15.75" customHeight="1">
      <c r="D65" s="42"/>
      <c r="E65" s="42"/>
    </row>
    <row r="66" ht="15.75" customHeight="1">
      <c r="D66" s="42"/>
      <c r="E66" s="42"/>
    </row>
    <row r="67" ht="15.75" customHeight="1">
      <c r="D67" s="42"/>
      <c r="E67" s="42"/>
    </row>
    <row r="68" ht="15.75" customHeight="1">
      <c r="D68" s="42"/>
      <c r="E68" s="42"/>
    </row>
    <row r="69" ht="15.75" customHeight="1">
      <c r="D69" s="42"/>
      <c r="E69" s="42"/>
    </row>
    <row r="70" ht="15.75" customHeight="1">
      <c r="D70" s="42"/>
      <c r="E70" s="42"/>
    </row>
    <row r="71" ht="15.75" customHeight="1">
      <c r="D71" s="42"/>
      <c r="E71" s="42"/>
    </row>
    <row r="72" ht="15.75" customHeight="1">
      <c r="D72" s="42"/>
      <c r="E72" s="42"/>
    </row>
    <row r="73" ht="15.75" customHeight="1">
      <c r="D73" s="42"/>
      <c r="E73" s="42"/>
    </row>
    <row r="74" ht="15.75" customHeight="1">
      <c r="D74" s="42"/>
      <c r="E74" s="42"/>
    </row>
    <row r="75" ht="15.75" customHeight="1">
      <c r="D75" s="42"/>
      <c r="E75" s="42"/>
    </row>
    <row r="76" ht="15.75" customHeight="1">
      <c r="D76" s="42"/>
      <c r="E76" s="42"/>
    </row>
    <row r="77" ht="15.75" customHeight="1">
      <c r="D77" s="42"/>
      <c r="E77" s="42"/>
    </row>
    <row r="78" ht="15.75" customHeight="1">
      <c r="D78" s="42"/>
      <c r="E78" s="42"/>
    </row>
    <row r="79" ht="15.75" customHeight="1">
      <c r="D79" s="42"/>
      <c r="E79" s="42"/>
    </row>
    <row r="80" ht="15.75" customHeight="1">
      <c r="D80" s="42"/>
      <c r="E80" s="42"/>
    </row>
    <row r="81" ht="15.75" customHeight="1">
      <c r="D81" s="42"/>
      <c r="E81" s="42"/>
    </row>
    <row r="82" ht="15.75" customHeight="1">
      <c r="D82" s="42"/>
      <c r="E82" s="42"/>
    </row>
    <row r="83" ht="15.75" customHeight="1">
      <c r="D83" s="42"/>
      <c r="E83" s="42"/>
    </row>
    <row r="84" ht="15.75" customHeight="1">
      <c r="D84" s="42"/>
      <c r="E84" s="42"/>
    </row>
    <row r="85" ht="15.75" customHeight="1">
      <c r="D85" s="42"/>
      <c r="E85" s="42"/>
    </row>
    <row r="86" ht="15.75" customHeight="1">
      <c r="D86" s="42"/>
      <c r="E86" s="42"/>
    </row>
    <row r="87" ht="15.75" customHeight="1">
      <c r="D87" s="42"/>
      <c r="E87" s="42"/>
    </row>
    <row r="88" ht="15.75" customHeight="1">
      <c r="D88" s="42"/>
      <c r="E88" s="42"/>
    </row>
    <row r="89" ht="15.75" customHeight="1">
      <c r="D89" s="42"/>
      <c r="E89" s="42"/>
    </row>
    <row r="90" ht="15.75" customHeight="1">
      <c r="D90" s="42"/>
      <c r="E90" s="42"/>
    </row>
    <row r="91" ht="15.75" customHeight="1">
      <c r="D91" s="42"/>
      <c r="E91" s="42"/>
    </row>
    <row r="92" ht="15.75" customHeight="1">
      <c r="D92" s="42"/>
      <c r="E92" s="42"/>
    </row>
    <row r="93" ht="15.75" customHeight="1">
      <c r="D93" s="42"/>
      <c r="E93" s="42"/>
    </row>
    <row r="94" ht="15.75" customHeight="1">
      <c r="D94" s="42"/>
      <c r="E94" s="42"/>
    </row>
    <row r="95" ht="15.75" customHeight="1">
      <c r="D95" s="42"/>
      <c r="E95" s="42"/>
    </row>
    <row r="96" ht="15.75" customHeight="1">
      <c r="D96" s="42"/>
      <c r="E96" s="42"/>
    </row>
    <row r="97" ht="15.75" customHeight="1">
      <c r="D97" s="42"/>
      <c r="E97" s="42"/>
    </row>
    <row r="98" ht="15.75" customHeight="1">
      <c r="D98" s="42"/>
      <c r="E98" s="42"/>
    </row>
    <row r="99" ht="15.75" customHeight="1">
      <c r="D99" s="42"/>
      <c r="E99" s="42"/>
    </row>
    <row r="100" ht="15.75" customHeight="1">
      <c r="D100" s="42"/>
      <c r="E100" s="42"/>
    </row>
    <row r="101" ht="15.75" customHeight="1">
      <c r="D101" s="42"/>
      <c r="E101" s="42"/>
    </row>
    <row r="102" ht="15.75" customHeight="1">
      <c r="D102" s="42"/>
      <c r="E102" s="42"/>
    </row>
    <row r="103" ht="15.75" customHeight="1">
      <c r="D103" s="42"/>
      <c r="E103" s="42"/>
    </row>
    <row r="104" ht="15.75" customHeight="1">
      <c r="D104" s="42"/>
      <c r="E104" s="42"/>
    </row>
    <row r="105" ht="15.75" customHeight="1">
      <c r="D105" s="42"/>
      <c r="E105" s="42"/>
    </row>
    <row r="106" ht="15.75" customHeight="1">
      <c r="D106" s="42"/>
      <c r="E106" s="42"/>
    </row>
    <row r="107" ht="15.75" customHeight="1">
      <c r="D107" s="42"/>
      <c r="E107" s="42"/>
    </row>
    <row r="108" ht="15.75" customHeight="1">
      <c r="D108" s="42"/>
      <c r="E108" s="42"/>
    </row>
    <row r="109" ht="15.75" customHeight="1">
      <c r="D109" s="42"/>
      <c r="E109" s="42"/>
    </row>
    <row r="110" ht="15.75" customHeight="1">
      <c r="D110" s="42"/>
      <c r="E110" s="42"/>
    </row>
    <row r="111" ht="15.75" customHeight="1">
      <c r="D111" s="42"/>
      <c r="E111" s="42"/>
    </row>
    <row r="112" ht="15.75" customHeight="1">
      <c r="D112" s="42"/>
      <c r="E112" s="42"/>
    </row>
    <row r="113" ht="15.75" customHeight="1">
      <c r="D113" s="42"/>
      <c r="E113" s="42"/>
    </row>
    <row r="114" ht="15.75" customHeight="1">
      <c r="D114" s="42"/>
      <c r="E114" s="42"/>
    </row>
    <row r="115" ht="15.75" customHeight="1">
      <c r="D115" s="42"/>
      <c r="E115" s="42"/>
    </row>
    <row r="116" ht="15.75" customHeight="1">
      <c r="D116" s="42"/>
      <c r="E116" s="42"/>
    </row>
    <row r="117" ht="15.75" customHeight="1">
      <c r="D117" s="42"/>
      <c r="E117" s="42"/>
    </row>
    <row r="118" ht="15.75" customHeight="1">
      <c r="D118" s="42"/>
      <c r="E118" s="42"/>
    </row>
    <row r="119" ht="15.75" customHeight="1">
      <c r="D119" s="42"/>
      <c r="E119" s="42"/>
    </row>
    <row r="120" ht="15.75" customHeight="1">
      <c r="D120" s="42"/>
      <c r="E120" s="42"/>
    </row>
    <row r="121" ht="15.75" customHeight="1">
      <c r="D121" s="42"/>
      <c r="E121" s="42"/>
    </row>
    <row r="122" ht="15.75" customHeight="1">
      <c r="D122" s="42"/>
      <c r="E122" s="42"/>
    </row>
    <row r="123" ht="15.75" customHeight="1">
      <c r="D123" s="42"/>
      <c r="E123" s="42"/>
    </row>
    <row r="124" ht="15.75" customHeight="1">
      <c r="D124" s="42"/>
      <c r="E124" s="42"/>
    </row>
    <row r="125" ht="15.75" customHeight="1">
      <c r="D125" s="42"/>
      <c r="E125" s="42"/>
    </row>
    <row r="126" ht="15.75" customHeight="1">
      <c r="D126" s="42"/>
      <c r="E126" s="42"/>
    </row>
    <row r="127" ht="15.75" customHeight="1">
      <c r="D127" s="42"/>
      <c r="E127" s="42"/>
    </row>
    <row r="128" ht="15.75" customHeight="1">
      <c r="D128" s="42"/>
      <c r="E128" s="42"/>
    </row>
    <row r="129" ht="15.75" customHeight="1">
      <c r="D129" s="42"/>
      <c r="E129" s="42"/>
    </row>
    <row r="130" ht="15.75" customHeight="1">
      <c r="D130" s="42"/>
      <c r="E130" s="42"/>
    </row>
    <row r="131" ht="15.75" customHeight="1">
      <c r="D131" s="42"/>
      <c r="E131" s="42"/>
    </row>
    <row r="132" ht="15.75" customHeight="1">
      <c r="D132" s="42"/>
      <c r="E132" s="42"/>
    </row>
    <row r="133" ht="15.75" customHeight="1">
      <c r="D133" s="42"/>
      <c r="E133" s="42"/>
    </row>
    <row r="134" ht="15.75" customHeight="1">
      <c r="D134" s="42"/>
      <c r="E134" s="42"/>
    </row>
    <row r="135" ht="15.75" customHeight="1">
      <c r="D135" s="42"/>
      <c r="E135" s="42"/>
    </row>
    <row r="136" ht="15.75" customHeight="1">
      <c r="D136" s="42"/>
      <c r="E136" s="42"/>
    </row>
    <row r="137" ht="15.75" customHeight="1">
      <c r="D137" s="42"/>
      <c r="E137" s="42"/>
    </row>
    <row r="138" ht="15.75" customHeight="1">
      <c r="D138" s="42"/>
      <c r="E138" s="42"/>
    </row>
    <row r="139" ht="15.75" customHeight="1">
      <c r="D139" s="42"/>
      <c r="E139" s="42"/>
    </row>
    <row r="140" ht="15.75" customHeight="1">
      <c r="D140" s="42"/>
      <c r="E140" s="42"/>
    </row>
    <row r="141" ht="15.75" customHeight="1">
      <c r="D141" s="42"/>
      <c r="E141" s="42"/>
    </row>
    <row r="142" ht="15.75" customHeight="1">
      <c r="D142" s="42"/>
      <c r="E142" s="42"/>
    </row>
    <row r="143" ht="15.75" customHeight="1">
      <c r="D143" s="42"/>
      <c r="E143" s="42"/>
    </row>
    <row r="144" ht="15.75" customHeight="1">
      <c r="D144" s="42"/>
      <c r="E144" s="42"/>
    </row>
    <row r="145" ht="15.75" customHeight="1">
      <c r="D145" s="42"/>
      <c r="E145" s="42"/>
    </row>
    <row r="146" ht="15.75" customHeight="1">
      <c r="D146" s="42"/>
      <c r="E146" s="42"/>
    </row>
    <row r="147" ht="15.75" customHeight="1">
      <c r="D147" s="42"/>
      <c r="E147" s="42"/>
    </row>
    <row r="148" ht="15.75" customHeight="1">
      <c r="D148" s="42"/>
      <c r="E148" s="42"/>
    </row>
    <row r="149" ht="15.75" customHeight="1">
      <c r="D149" s="42"/>
      <c r="E149" s="42"/>
    </row>
    <row r="150" ht="15.75" customHeight="1">
      <c r="D150" s="42"/>
      <c r="E150" s="42"/>
    </row>
    <row r="151" ht="15.75" customHeight="1">
      <c r="D151" s="42"/>
      <c r="E151" s="42"/>
    </row>
    <row r="152" ht="15.75" customHeight="1">
      <c r="D152" s="42"/>
      <c r="E152" s="42"/>
    </row>
    <row r="153" ht="15.75" customHeight="1">
      <c r="D153" s="42"/>
      <c r="E153" s="42"/>
    </row>
    <row r="154" ht="15.75" customHeight="1">
      <c r="D154" s="42"/>
      <c r="E154" s="42"/>
    </row>
    <row r="155" ht="15.75" customHeight="1">
      <c r="D155" s="42"/>
      <c r="E155" s="42"/>
    </row>
    <row r="156" ht="15.75" customHeight="1">
      <c r="D156" s="42"/>
      <c r="E156" s="42"/>
    </row>
    <row r="157" ht="15.75" customHeight="1">
      <c r="D157" s="42"/>
      <c r="E157" s="42"/>
    </row>
    <row r="158" ht="15.75" customHeight="1">
      <c r="D158" s="42"/>
      <c r="E158" s="42"/>
    </row>
    <row r="159" ht="15.75" customHeight="1">
      <c r="D159" s="42"/>
      <c r="E159" s="42"/>
    </row>
    <row r="160" ht="15.75" customHeight="1">
      <c r="D160" s="42"/>
      <c r="E160" s="42"/>
    </row>
    <row r="161" ht="15.75" customHeight="1">
      <c r="D161" s="42"/>
      <c r="E161" s="42"/>
    </row>
    <row r="162" ht="15.75" customHeight="1">
      <c r="D162" s="42"/>
      <c r="E162" s="42"/>
    </row>
    <row r="163" ht="15.75" customHeight="1">
      <c r="D163" s="42"/>
      <c r="E163" s="42"/>
    </row>
    <row r="164" ht="15.75" customHeight="1">
      <c r="D164" s="42"/>
      <c r="E164" s="42"/>
    </row>
    <row r="165" ht="15.75" customHeight="1">
      <c r="D165" s="42"/>
      <c r="E165" s="42"/>
    </row>
    <row r="166" ht="15.75" customHeight="1">
      <c r="D166" s="42"/>
      <c r="E166" s="42"/>
    </row>
    <row r="167" ht="15.75" customHeight="1">
      <c r="D167" s="42"/>
      <c r="E167" s="42"/>
    </row>
    <row r="168" ht="15.75" customHeight="1">
      <c r="D168" s="42"/>
      <c r="E168" s="42"/>
    </row>
    <row r="169" ht="15.75" customHeight="1">
      <c r="D169" s="42"/>
      <c r="E169" s="42"/>
    </row>
    <row r="170" ht="15.75" customHeight="1">
      <c r="D170" s="42"/>
      <c r="E170" s="42"/>
    </row>
    <row r="171" ht="15.75" customHeight="1">
      <c r="D171" s="42"/>
      <c r="E171" s="42"/>
    </row>
    <row r="172" ht="15.75" customHeight="1">
      <c r="D172" s="42"/>
      <c r="E172" s="42"/>
    </row>
    <row r="173" ht="15.75" customHeight="1">
      <c r="D173" s="42"/>
      <c r="E173" s="42"/>
    </row>
    <row r="174" ht="15.75" customHeight="1">
      <c r="D174" s="42"/>
      <c r="E174" s="42"/>
    </row>
    <row r="175" ht="15.75" customHeight="1">
      <c r="D175" s="42"/>
      <c r="E175" s="42"/>
    </row>
    <row r="176" ht="15.75" customHeight="1">
      <c r="D176" s="42"/>
      <c r="E176" s="42"/>
    </row>
    <row r="177" ht="15.75" customHeight="1">
      <c r="D177" s="42"/>
      <c r="E177" s="42"/>
    </row>
    <row r="178" ht="15.75" customHeight="1">
      <c r="D178" s="42"/>
      <c r="E178" s="42"/>
    </row>
    <row r="179" ht="15.75" customHeight="1">
      <c r="D179" s="42"/>
      <c r="E179" s="42"/>
    </row>
    <row r="180" ht="15.75" customHeight="1">
      <c r="D180" s="42"/>
      <c r="E180" s="42"/>
    </row>
    <row r="181" ht="15.75" customHeight="1">
      <c r="D181" s="42"/>
      <c r="E181" s="42"/>
    </row>
    <row r="182" ht="15.75" customHeight="1">
      <c r="D182" s="42"/>
      <c r="E182" s="42"/>
    </row>
    <row r="183" ht="15.75" customHeight="1">
      <c r="D183" s="42"/>
      <c r="E183" s="42"/>
    </row>
    <row r="184" ht="15.75" customHeight="1">
      <c r="D184" s="42"/>
      <c r="E184" s="42"/>
    </row>
    <row r="185" ht="15.75" customHeight="1">
      <c r="D185" s="42"/>
      <c r="E185" s="42"/>
    </row>
    <row r="186" ht="15.75" customHeight="1">
      <c r="D186" s="42"/>
      <c r="E186" s="42"/>
    </row>
    <row r="187" ht="15.75" customHeight="1">
      <c r="D187" s="42"/>
      <c r="E187" s="42"/>
    </row>
    <row r="188" ht="15.75" customHeight="1">
      <c r="D188" s="42"/>
      <c r="E188" s="42"/>
    </row>
    <row r="189" ht="15.75" customHeight="1">
      <c r="D189" s="42"/>
      <c r="E189" s="42"/>
    </row>
    <row r="190" ht="15.75" customHeight="1">
      <c r="D190" s="42"/>
      <c r="E190" s="42"/>
    </row>
    <row r="191" ht="15.75" customHeight="1">
      <c r="D191" s="42"/>
      <c r="E191" s="42"/>
    </row>
    <row r="192" ht="15.75" customHeight="1">
      <c r="D192" s="42"/>
      <c r="E192" s="42"/>
    </row>
    <row r="193" ht="15.75" customHeight="1">
      <c r="D193" s="42"/>
      <c r="E193" s="42"/>
    </row>
    <row r="194" ht="15.75" customHeight="1">
      <c r="D194" s="42"/>
      <c r="E194" s="42"/>
    </row>
    <row r="195" ht="15.75" customHeight="1">
      <c r="D195" s="42"/>
      <c r="E195" s="42"/>
    </row>
    <row r="196" ht="15.75" customHeight="1">
      <c r="D196" s="42"/>
      <c r="E196" s="42"/>
    </row>
    <row r="197" ht="15.75" customHeight="1">
      <c r="D197" s="42"/>
      <c r="E197" s="42"/>
    </row>
    <row r="198" ht="15.75" customHeight="1">
      <c r="D198" s="42"/>
      <c r="E198" s="42"/>
    </row>
    <row r="199" ht="15.75" customHeight="1">
      <c r="D199" s="42"/>
      <c r="E199" s="42"/>
    </row>
    <row r="200" ht="15.75" customHeight="1">
      <c r="D200" s="42"/>
      <c r="E200" s="42"/>
    </row>
    <row r="201" ht="15.75" customHeight="1">
      <c r="D201" s="42"/>
      <c r="E201" s="42"/>
    </row>
    <row r="202" ht="15.75" customHeight="1">
      <c r="D202" s="42"/>
      <c r="E202" s="42"/>
    </row>
    <row r="203" ht="15.75" customHeight="1">
      <c r="D203" s="42"/>
      <c r="E203" s="42"/>
    </row>
    <row r="204" ht="15.75" customHeight="1">
      <c r="D204" s="42"/>
      <c r="E204" s="42"/>
    </row>
    <row r="205" ht="15.75" customHeight="1">
      <c r="D205" s="42"/>
      <c r="E205" s="42"/>
    </row>
    <row r="206" ht="15.75" customHeight="1">
      <c r="D206" s="42"/>
      <c r="E206" s="42"/>
    </row>
    <row r="207" ht="15.75" customHeight="1">
      <c r="D207" s="42"/>
      <c r="E207" s="42"/>
    </row>
    <row r="208" ht="15.75" customHeight="1">
      <c r="D208" s="42"/>
      <c r="E208" s="42"/>
    </row>
    <row r="209" ht="15.75" customHeight="1">
      <c r="D209" s="42"/>
      <c r="E209" s="42"/>
    </row>
    <row r="210" ht="15.75" customHeight="1">
      <c r="D210" s="42"/>
      <c r="E210" s="42"/>
    </row>
    <row r="211" ht="15.75" customHeight="1">
      <c r="D211" s="42"/>
      <c r="E211" s="42"/>
    </row>
    <row r="212" ht="15.75" customHeight="1">
      <c r="D212" s="42"/>
      <c r="E212" s="42"/>
    </row>
    <row r="213" ht="15.75" customHeight="1">
      <c r="D213" s="42"/>
      <c r="E213" s="42"/>
    </row>
    <row r="214" ht="15.75" customHeight="1">
      <c r="D214" s="42"/>
      <c r="E214" s="42"/>
    </row>
    <row r="215" ht="15.75" customHeight="1">
      <c r="D215" s="42"/>
      <c r="E215" s="42"/>
    </row>
    <row r="216" ht="15.75" customHeight="1">
      <c r="D216" s="42"/>
      <c r="E216" s="42"/>
    </row>
    <row r="217" ht="15.75" customHeight="1">
      <c r="D217" s="42"/>
      <c r="E217" s="42"/>
    </row>
    <row r="218" ht="15.75" customHeight="1">
      <c r="D218" s="42"/>
      <c r="E218" s="42"/>
    </row>
    <row r="219" ht="15.75" customHeight="1">
      <c r="D219" s="42"/>
      <c r="E219" s="42"/>
    </row>
    <row r="220" ht="15.75" customHeight="1">
      <c r="D220" s="42"/>
      <c r="E220" s="42"/>
    </row>
    <row r="221" ht="15.75" customHeight="1">
      <c r="D221" s="42"/>
      <c r="E221" s="42"/>
    </row>
    <row r="222" ht="15.75" customHeight="1">
      <c r="D222" s="42"/>
      <c r="E222" s="42"/>
    </row>
    <row r="223" ht="15.75" customHeight="1">
      <c r="D223" s="42"/>
      <c r="E223" s="42"/>
    </row>
    <row r="224" ht="15.75" customHeight="1">
      <c r="D224" s="42"/>
      <c r="E224" s="42"/>
    </row>
    <row r="225" ht="15.75" customHeight="1">
      <c r="D225" s="42"/>
      <c r="E225" s="42"/>
    </row>
    <row r="226" ht="15.75" customHeight="1">
      <c r="D226" s="42"/>
      <c r="E226" s="42"/>
    </row>
    <row r="227" ht="15.75" customHeight="1">
      <c r="D227" s="42"/>
      <c r="E227" s="42"/>
    </row>
    <row r="228" ht="15.75" customHeight="1">
      <c r="D228" s="42"/>
      <c r="E228" s="42"/>
    </row>
    <row r="229" ht="15.75" customHeight="1">
      <c r="D229" s="42"/>
      <c r="E229" s="42"/>
    </row>
    <row r="230" ht="15.75" customHeight="1">
      <c r="D230" s="42"/>
      <c r="E230" s="42"/>
    </row>
    <row r="231" ht="15.75" customHeight="1">
      <c r="D231" s="42"/>
      <c r="E231" s="42"/>
    </row>
    <row r="232" ht="15.75" customHeight="1">
      <c r="D232" s="42"/>
      <c r="E232" s="42"/>
    </row>
    <row r="233" ht="15.75" customHeight="1">
      <c r="D233" s="42"/>
      <c r="E233" s="42"/>
    </row>
    <row r="234" ht="15.75" customHeight="1">
      <c r="D234" s="42"/>
      <c r="E234" s="42"/>
    </row>
    <row r="235" ht="15.75" customHeight="1">
      <c r="D235" s="42"/>
      <c r="E235" s="42"/>
    </row>
    <row r="236" ht="15.75" customHeight="1">
      <c r="D236" s="42"/>
      <c r="E236" s="42"/>
    </row>
    <row r="237" ht="15.75" customHeight="1">
      <c r="D237" s="42"/>
      <c r="E237" s="42"/>
    </row>
    <row r="238" ht="15.75" customHeight="1">
      <c r="D238" s="42"/>
      <c r="E238" s="42"/>
    </row>
    <row r="239" ht="15.75" customHeight="1">
      <c r="D239" s="42"/>
      <c r="E239" s="42"/>
    </row>
    <row r="240" ht="15.75" customHeight="1">
      <c r="D240" s="42"/>
      <c r="E240" s="42"/>
    </row>
    <row r="241" ht="15.75" customHeight="1">
      <c r="D241" s="42"/>
      <c r="E241" s="42"/>
    </row>
    <row r="242" ht="15.75" customHeight="1">
      <c r="D242" s="42"/>
      <c r="E242" s="42"/>
    </row>
    <row r="243" ht="15.75" customHeight="1">
      <c r="D243" s="42"/>
      <c r="E243" s="42"/>
    </row>
    <row r="244" ht="15.75" customHeight="1">
      <c r="D244" s="42"/>
      <c r="E244" s="42"/>
    </row>
    <row r="245" ht="15.75" customHeight="1">
      <c r="D245" s="42"/>
      <c r="E245" s="42"/>
    </row>
    <row r="246" ht="15.75" customHeight="1">
      <c r="D246" s="42"/>
      <c r="E246" s="42"/>
    </row>
    <row r="247" ht="15.75" customHeight="1">
      <c r="D247" s="42"/>
      <c r="E247" s="42"/>
    </row>
    <row r="248" ht="15.75" customHeight="1">
      <c r="D248" s="42"/>
      <c r="E248" s="42"/>
    </row>
    <row r="249" ht="15.75" customHeight="1">
      <c r="D249" s="42"/>
      <c r="E249" s="42"/>
    </row>
    <row r="250" ht="15.75" customHeight="1">
      <c r="D250" s="42"/>
      <c r="E250" s="42"/>
    </row>
    <row r="251" ht="15.75" customHeight="1">
      <c r="D251" s="42"/>
      <c r="E251" s="42"/>
    </row>
    <row r="252" ht="15.75" customHeight="1">
      <c r="D252" s="42"/>
      <c r="E252" s="42"/>
    </row>
    <row r="253" ht="15.75" customHeight="1">
      <c r="D253" s="42"/>
      <c r="E253" s="42"/>
    </row>
    <row r="254" ht="15.75" customHeight="1">
      <c r="D254" s="42"/>
      <c r="E254" s="42"/>
    </row>
    <row r="255" ht="15.75" customHeight="1">
      <c r="D255" s="42"/>
      <c r="E255" s="42"/>
    </row>
    <row r="256" ht="15.75" customHeight="1">
      <c r="D256" s="42"/>
      <c r="E256" s="42"/>
    </row>
    <row r="257" ht="15.75" customHeight="1">
      <c r="D257" s="42"/>
      <c r="E257" s="42"/>
    </row>
    <row r="258" ht="15.75" customHeight="1">
      <c r="D258" s="42"/>
      <c r="E258" s="42"/>
    </row>
    <row r="259" ht="15.75" customHeight="1">
      <c r="D259" s="42"/>
      <c r="E259" s="42"/>
    </row>
    <row r="260" ht="15.75" customHeight="1">
      <c r="D260" s="42"/>
      <c r="E260" s="42"/>
    </row>
    <row r="261" ht="15.75" customHeight="1">
      <c r="D261" s="42"/>
      <c r="E261" s="42"/>
    </row>
    <row r="262" ht="15.75" customHeight="1">
      <c r="D262" s="42"/>
      <c r="E262" s="42"/>
    </row>
    <row r="263" ht="15.75" customHeight="1">
      <c r="D263" s="42"/>
      <c r="E263" s="42"/>
    </row>
    <row r="264" ht="15.75" customHeight="1">
      <c r="D264" s="42"/>
      <c r="E264" s="42"/>
    </row>
    <row r="265" ht="15.75" customHeight="1">
      <c r="D265" s="42"/>
      <c r="E265" s="42"/>
    </row>
    <row r="266" ht="15.75" customHeight="1">
      <c r="D266" s="42"/>
      <c r="E266" s="42"/>
    </row>
    <row r="267" ht="15.75" customHeight="1">
      <c r="D267" s="42"/>
      <c r="E267" s="42"/>
    </row>
    <row r="268" ht="15.75" customHeight="1">
      <c r="D268" s="42"/>
      <c r="E268" s="42"/>
    </row>
    <row r="269" ht="15.75" customHeight="1">
      <c r="D269" s="42"/>
      <c r="E269" s="42"/>
    </row>
    <row r="270" ht="15.75" customHeight="1">
      <c r="D270" s="42"/>
      <c r="E270" s="42"/>
    </row>
    <row r="271" ht="15.75" customHeight="1">
      <c r="D271" s="42"/>
      <c r="E271" s="42"/>
    </row>
    <row r="272" ht="15.75" customHeight="1">
      <c r="D272" s="42"/>
      <c r="E272" s="42"/>
    </row>
    <row r="273" ht="15.75" customHeight="1">
      <c r="D273" s="42"/>
      <c r="E273" s="42"/>
    </row>
    <row r="274" ht="15.75" customHeight="1">
      <c r="D274" s="42"/>
      <c r="E274" s="42"/>
    </row>
    <row r="275" ht="15.75" customHeight="1">
      <c r="D275" s="42"/>
      <c r="E275" s="42"/>
    </row>
    <row r="276" ht="15.75" customHeight="1">
      <c r="D276" s="42"/>
      <c r="E276" s="42"/>
    </row>
    <row r="277" ht="15.75" customHeight="1">
      <c r="D277" s="42"/>
      <c r="E277" s="42"/>
    </row>
    <row r="278" ht="15.75" customHeight="1">
      <c r="D278" s="42"/>
      <c r="E278" s="42"/>
    </row>
    <row r="279" ht="15.75" customHeight="1">
      <c r="D279" s="42"/>
      <c r="E279" s="42"/>
    </row>
    <row r="280" ht="15.75" customHeight="1">
      <c r="D280" s="42"/>
      <c r="E280" s="42"/>
    </row>
    <row r="281" ht="15.75" customHeight="1">
      <c r="D281" s="42"/>
      <c r="E281" s="42"/>
    </row>
    <row r="282" ht="15.75" customHeight="1">
      <c r="D282" s="42"/>
      <c r="E282" s="42"/>
    </row>
    <row r="283" ht="15.75" customHeight="1">
      <c r="D283" s="42"/>
      <c r="E283" s="42"/>
    </row>
    <row r="284" ht="15.75" customHeight="1">
      <c r="D284" s="42"/>
      <c r="E284" s="42"/>
    </row>
    <row r="285" ht="15.75" customHeight="1">
      <c r="D285" s="42"/>
      <c r="E285" s="42"/>
    </row>
    <row r="286" ht="15.75" customHeight="1">
      <c r="D286" s="42"/>
      <c r="E286" s="42"/>
    </row>
    <row r="287" ht="15.75" customHeight="1">
      <c r="D287" s="42"/>
      <c r="E287" s="42"/>
    </row>
    <row r="288" ht="15.75" customHeight="1">
      <c r="D288" s="42"/>
      <c r="E288" s="42"/>
    </row>
    <row r="289" ht="15.75" customHeight="1">
      <c r="D289" s="42"/>
      <c r="E289" s="42"/>
    </row>
    <row r="290" ht="15.75" customHeight="1">
      <c r="D290" s="42"/>
      <c r="E290" s="42"/>
    </row>
    <row r="291" ht="15.75" customHeight="1">
      <c r="D291" s="42"/>
      <c r="E291" s="42"/>
    </row>
    <row r="292" ht="15.75" customHeight="1">
      <c r="D292" s="42"/>
      <c r="E292" s="42"/>
    </row>
    <row r="293" ht="15.75" customHeight="1">
      <c r="D293" s="42"/>
      <c r="E293" s="42"/>
    </row>
    <row r="294" ht="15.75" customHeight="1">
      <c r="D294" s="42"/>
      <c r="E294" s="42"/>
    </row>
    <row r="295" ht="15.75" customHeight="1">
      <c r="D295" s="42"/>
      <c r="E295" s="42"/>
    </row>
    <row r="296" ht="15.75" customHeight="1">
      <c r="D296" s="42"/>
      <c r="E296" s="42"/>
    </row>
    <row r="297" ht="15.75" customHeight="1">
      <c r="D297" s="42"/>
      <c r="E297" s="42"/>
    </row>
    <row r="298" ht="15.75" customHeight="1">
      <c r="D298" s="42"/>
      <c r="E298" s="42"/>
    </row>
    <row r="299" ht="15.75" customHeight="1">
      <c r="D299" s="42"/>
      <c r="E299" s="42"/>
    </row>
    <row r="300" ht="15.75" customHeight="1">
      <c r="D300" s="42"/>
      <c r="E300" s="42"/>
    </row>
    <row r="301" ht="15.75" customHeight="1">
      <c r="D301" s="42"/>
      <c r="E301" s="42"/>
    </row>
    <row r="302" ht="15.75" customHeight="1">
      <c r="D302" s="42"/>
      <c r="E302" s="42"/>
    </row>
    <row r="303" ht="15.75" customHeight="1">
      <c r="D303" s="42"/>
      <c r="E303" s="42"/>
    </row>
    <row r="304" ht="15.75" customHeight="1">
      <c r="D304" s="42"/>
      <c r="E304" s="42"/>
    </row>
    <row r="305" ht="15.75" customHeight="1">
      <c r="D305" s="42"/>
      <c r="E305" s="42"/>
    </row>
    <row r="306" ht="15.75" customHeight="1">
      <c r="D306" s="42"/>
      <c r="E306" s="42"/>
    </row>
    <row r="307" ht="15.75" customHeight="1">
      <c r="D307" s="42"/>
      <c r="E307" s="42"/>
    </row>
    <row r="308" ht="15.75" customHeight="1">
      <c r="D308" s="42"/>
      <c r="E308" s="42"/>
    </row>
    <row r="309" ht="15.75" customHeight="1">
      <c r="D309" s="42"/>
      <c r="E309" s="42"/>
    </row>
    <row r="310" ht="15.75" customHeight="1">
      <c r="D310" s="42"/>
      <c r="E310" s="42"/>
    </row>
    <row r="311" ht="15.75" customHeight="1">
      <c r="D311" s="42"/>
      <c r="E311" s="42"/>
    </row>
    <row r="312" ht="15.75" customHeight="1">
      <c r="D312" s="42"/>
      <c r="E312" s="42"/>
    </row>
    <row r="313" ht="15.75" customHeight="1">
      <c r="D313" s="42"/>
      <c r="E313" s="42"/>
    </row>
    <row r="314" ht="15.75" customHeight="1">
      <c r="D314" s="42"/>
      <c r="E314" s="42"/>
    </row>
    <row r="315" ht="15.75" customHeight="1">
      <c r="D315" s="42"/>
      <c r="E315" s="42"/>
    </row>
    <row r="316" ht="15.75" customHeight="1">
      <c r="D316" s="42"/>
      <c r="E316" s="42"/>
    </row>
    <row r="317" ht="15.75" customHeight="1">
      <c r="D317" s="42"/>
      <c r="E317" s="42"/>
    </row>
    <row r="318" ht="15.75" customHeight="1">
      <c r="D318" s="42"/>
      <c r="E318" s="42"/>
    </row>
    <row r="319" ht="15.75" customHeight="1">
      <c r="D319" s="42"/>
      <c r="E319" s="42"/>
    </row>
    <row r="320" ht="15.75" customHeight="1">
      <c r="D320" s="42"/>
      <c r="E320" s="42"/>
    </row>
    <row r="321" ht="15.75" customHeight="1">
      <c r="D321" s="42"/>
      <c r="E321" s="42"/>
    </row>
    <row r="322" ht="15.75" customHeight="1">
      <c r="D322" s="42"/>
      <c r="E322" s="42"/>
    </row>
    <row r="323" ht="15.75" customHeight="1">
      <c r="D323" s="42"/>
      <c r="E323" s="42"/>
    </row>
    <row r="324" ht="15.75" customHeight="1">
      <c r="D324" s="42"/>
      <c r="E324" s="42"/>
    </row>
    <row r="325" ht="15.75" customHeight="1">
      <c r="D325" s="42"/>
      <c r="E325" s="42"/>
    </row>
    <row r="326" ht="15.75" customHeight="1">
      <c r="D326" s="42"/>
      <c r="E326" s="42"/>
    </row>
    <row r="327" ht="15.75" customHeight="1">
      <c r="D327" s="42"/>
      <c r="E327" s="42"/>
    </row>
    <row r="328" ht="15.75" customHeight="1">
      <c r="D328" s="42"/>
      <c r="E328" s="42"/>
    </row>
    <row r="329" ht="15.75" customHeight="1">
      <c r="D329" s="42"/>
      <c r="E329" s="42"/>
    </row>
    <row r="330" ht="15.75" customHeight="1">
      <c r="D330" s="42"/>
      <c r="E330" s="42"/>
    </row>
    <row r="331" ht="15.75" customHeight="1">
      <c r="D331" s="42"/>
      <c r="E331" s="42"/>
    </row>
    <row r="332" ht="15.75" customHeight="1">
      <c r="D332" s="42"/>
      <c r="E332" s="42"/>
    </row>
    <row r="333" ht="15.75" customHeight="1">
      <c r="D333" s="42"/>
      <c r="E333" s="42"/>
    </row>
    <row r="334" ht="15.75" customHeight="1">
      <c r="D334" s="42"/>
      <c r="E334" s="42"/>
    </row>
    <row r="335" ht="15.75" customHeight="1">
      <c r="D335" s="42"/>
      <c r="E335" s="42"/>
    </row>
    <row r="336" ht="15.75" customHeight="1">
      <c r="D336" s="42"/>
      <c r="E336" s="42"/>
    </row>
    <row r="337" ht="15.75" customHeight="1">
      <c r="D337" s="42"/>
      <c r="E337" s="42"/>
    </row>
    <row r="338" ht="15.75" customHeight="1">
      <c r="D338" s="42"/>
      <c r="E338" s="42"/>
    </row>
    <row r="339" ht="15.75" customHeight="1">
      <c r="D339" s="42"/>
      <c r="E339" s="42"/>
    </row>
    <row r="340" ht="15.75" customHeight="1">
      <c r="D340" s="42"/>
      <c r="E340" s="42"/>
    </row>
    <row r="341" ht="15.75" customHeight="1">
      <c r="D341" s="42"/>
      <c r="E341" s="42"/>
    </row>
    <row r="342" ht="15.75" customHeight="1">
      <c r="D342" s="42"/>
      <c r="E342" s="42"/>
    </row>
    <row r="343" ht="15.75" customHeight="1">
      <c r="D343" s="42"/>
      <c r="E343" s="42"/>
    </row>
    <row r="344" ht="15.75" customHeight="1">
      <c r="D344" s="42"/>
      <c r="E344" s="42"/>
    </row>
    <row r="345" ht="15.75" customHeight="1">
      <c r="D345" s="42"/>
      <c r="E345" s="42"/>
    </row>
    <row r="346" ht="15.75" customHeight="1">
      <c r="D346" s="42"/>
      <c r="E346" s="42"/>
    </row>
    <row r="347" ht="15.75" customHeight="1">
      <c r="D347" s="42"/>
      <c r="E347" s="42"/>
    </row>
    <row r="348" ht="15.75" customHeight="1">
      <c r="D348" s="42"/>
      <c r="E348" s="42"/>
    </row>
    <row r="349" ht="15.75" customHeight="1">
      <c r="D349" s="42"/>
      <c r="E349" s="42"/>
    </row>
    <row r="350" ht="15.75" customHeight="1">
      <c r="D350" s="42"/>
      <c r="E350" s="42"/>
    </row>
    <row r="351" ht="15.75" customHeight="1">
      <c r="D351" s="42"/>
      <c r="E351" s="42"/>
    </row>
    <row r="352" ht="15.75" customHeight="1">
      <c r="D352" s="42"/>
      <c r="E352" s="42"/>
    </row>
    <row r="353" ht="15.75" customHeight="1">
      <c r="D353" s="42"/>
      <c r="E353" s="42"/>
    </row>
    <row r="354" ht="15.75" customHeight="1">
      <c r="D354" s="42"/>
      <c r="E354" s="42"/>
    </row>
    <row r="355" ht="15.75" customHeight="1">
      <c r="D355" s="42"/>
      <c r="E355" s="42"/>
    </row>
    <row r="356" ht="15.75" customHeight="1">
      <c r="D356" s="42"/>
      <c r="E356" s="42"/>
    </row>
    <row r="357" ht="15.75" customHeight="1">
      <c r="D357" s="42"/>
      <c r="E357" s="42"/>
    </row>
    <row r="358" ht="15.75" customHeight="1">
      <c r="D358" s="42"/>
      <c r="E358" s="42"/>
    </row>
    <row r="359" ht="15.75" customHeight="1">
      <c r="D359" s="42"/>
      <c r="E359" s="42"/>
    </row>
    <row r="360" ht="15.75" customHeight="1">
      <c r="D360" s="42"/>
      <c r="E360" s="42"/>
    </row>
    <row r="361" ht="15.75" customHeight="1">
      <c r="D361" s="42"/>
      <c r="E361" s="42"/>
    </row>
    <row r="362" ht="15.75" customHeight="1">
      <c r="D362" s="42"/>
      <c r="E362" s="42"/>
    </row>
    <row r="363" ht="15.75" customHeight="1">
      <c r="D363" s="42"/>
      <c r="E363" s="42"/>
    </row>
    <row r="364" ht="15.75" customHeight="1">
      <c r="D364" s="42"/>
      <c r="E364" s="42"/>
    </row>
    <row r="365" ht="15.75" customHeight="1">
      <c r="D365" s="42"/>
      <c r="E365" s="42"/>
    </row>
    <row r="366" ht="15.75" customHeight="1">
      <c r="D366" s="42"/>
      <c r="E366" s="42"/>
    </row>
    <row r="367" ht="15.75" customHeight="1">
      <c r="D367" s="42"/>
      <c r="E367" s="42"/>
    </row>
    <row r="368" ht="15.75" customHeight="1">
      <c r="D368" s="42"/>
      <c r="E368" s="42"/>
    </row>
    <row r="369" ht="15.75" customHeight="1">
      <c r="D369" s="42"/>
      <c r="E369" s="42"/>
    </row>
    <row r="370" ht="15.75" customHeight="1">
      <c r="D370" s="42"/>
      <c r="E370" s="42"/>
    </row>
    <row r="371" ht="15.75" customHeight="1">
      <c r="D371" s="42"/>
      <c r="E371" s="42"/>
    </row>
    <row r="372" ht="15.75" customHeight="1">
      <c r="D372" s="42"/>
      <c r="E372" s="42"/>
    </row>
    <row r="373" ht="15.75" customHeight="1">
      <c r="D373" s="42"/>
      <c r="E373" s="42"/>
    </row>
    <row r="374" ht="15.75" customHeight="1">
      <c r="D374" s="42"/>
      <c r="E374" s="42"/>
    </row>
    <row r="375" ht="15.75" customHeight="1">
      <c r="D375" s="42"/>
      <c r="E375" s="42"/>
    </row>
    <row r="376" ht="15.75" customHeight="1">
      <c r="D376" s="42"/>
      <c r="E376" s="42"/>
    </row>
    <row r="377" ht="15.75" customHeight="1">
      <c r="D377" s="42"/>
      <c r="E377" s="42"/>
    </row>
    <row r="378" ht="15.75" customHeight="1">
      <c r="D378" s="42"/>
      <c r="E378" s="42"/>
    </row>
    <row r="379" ht="15.75" customHeight="1">
      <c r="D379" s="42"/>
      <c r="E379" s="42"/>
    </row>
    <row r="380" ht="15.75" customHeight="1">
      <c r="D380" s="42"/>
      <c r="E380" s="42"/>
    </row>
    <row r="381" ht="15.75" customHeight="1">
      <c r="D381" s="42"/>
      <c r="E381" s="42"/>
    </row>
    <row r="382" ht="15.75" customHeight="1">
      <c r="D382" s="42"/>
      <c r="E382" s="42"/>
    </row>
    <row r="383" ht="15.75" customHeight="1">
      <c r="D383" s="42"/>
      <c r="E383" s="42"/>
    </row>
    <row r="384" ht="15.75" customHeight="1">
      <c r="D384" s="42"/>
      <c r="E384" s="42"/>
    </row>
    <row r="385" ht="15.75" customHeight="1">
      <c r="D385" s="42"/>
      <c r="E385" s="42"/>
    </row>
    <row r="386" ht="15.75" customHeight="1">
      <c r="D386" s="42"/>
      <c r="E386" s="42"/>
    </row>
    <row r="387" ht="15.75" customHeight="1">
      <c r="D387" s="42"/>
      <c r="E387" s="42"/>
    </row>
    <row r="388" ht="15.75" customHeight="1">
      <c r="D388" s="42"/>
      <c r="E388" s="42"/>
    </row>
    <row r="389" ht="15.75" customHeight="1">
      <c r="D389" s="42"/>
      <c r="E389" s="42"/>
    </row>
    <row r="390" ht="15.75" customHeight="1">
      <c r="D390" s="42"/>
      <c r="E390" s="42"/>
    </row>
    <row r="391" ht="15.75" customHeight="1">
      <c r="D391" s="42"/>
      <c r="E391" s="42"/>
    </row>
    <row r="392" ht="15.75" customHeight="1">
      <c r="D392" s="42"/>
      <c r="E392" s="42"/>
    </row>
    <row r="393" ht="15.75" customHeight="1">
      <c r="D393" s="42"/>
      <c r="E393" s="42"/>
    </row>
    <row r="394" ht="15.75" customHeight="1">
      <c r="D394" s="42"/>
      <c r="E394" s="42"/>
    </row>
    <row r="395" ht="15.75" customHeight="1">
      <c r="D395" s="42"/>
      <c r="E395" s="42"/>
    </row>
    <row r="396" ht="15.75" customHeight="1">
      <c r="D396" s="42"/>
      <c r="E396" s="42"/>
    </row>
    <row r="397" ht="15.75" customHeight="1">
      <c r="D397" s="42"/>
      <c r="E397" s="42"/>
    </row>
    <row r="398" ht="15.75" customHeight="1">
      <c r="D398" s="42"/>
      <c r="E398" s="42"/>
    </row>
    <row r="399" ht="15.75" customHeight="1">
      <c r="D399" s="42"/>
      <c r="E399" s="42"/>
    </row>
    <row r="400" ht="15.75" customHeight="1">
      <c r="D400" s="42"/>
      <c r="E400" s="42"/>
    </row>
    <row r="401" ht="15.75" customHeight="1">
      <c r="D401" s="42"/>
      <c r="E401" s="42"/>
    </row>
    <row r="402" ht="15.75" customHeight="1">
      <c r="D402" s="42"/>
      <c r="E402" s="42"/>
    </row>
    <row r="403" ht="15.75" customHeight="1">
      <c r="D403" s="42"/>
      <c r="E403" s="42"/>
    </row>
    <row r="404" ht="15.75" customHeight="1">
      <c r="D404" s="42"/>
      <c r="E404" s="42"/>
    </row>
    <row r="405" ht="15.75" customHeight="1">
      <c r="D405" s="42"/>
      <c r="E405" s="42"/>
    </row>
    <row r="406" ht="15.75" customHeight="1">
      <c r="D406" s="42"/>
      <c r="E406" s="42"/>
    </row>
    <row r="407" ht="15.75" customHeight="1">
      <c r="D407" s="42"/>
      <c r="E407" s="42"/>
    </row>
    <row r="408" ht="15.75" customHeight="1">
      <c r="D408" s="42"/>
      <c r="E408" s="42"/>
    </row>
    <row r="409" ht="15.75" customHeight="1">
      <c r="D409" s="42"/>
      <c r="E409" s="42"/>
    </row>
    <row r="410" ht="15.75" customHeight="1">
      <c r="D410" s="42"/>
      <c r="E410" s="42"/>
    </row>
    <row r="411" ht="15.75" customHeight="1">
      <c r="D411" s="42"/>
      <c r="E411" s="42"/>
    </row>
    <row r="412" ht="15.75" customHeight="1">
      <c r="D412" s="42"/>
      <c r="E412" s="42"/>
    </row>
    <row r="413" ht="15.75" customHeight="1">
      <c r="D413" s="42"/>
      <c r="E413" s="42"/>
    </row>
    <row r="414" ht="15.75" customHeight="1">
      <c r="D414" s="42"/>
      <c r="E414" s="42"/>
    </row>
    <row r="415" ht="15.75" customHeight="1">
      <c r="D415" s="42"/>
      <c r="E415" s="42"/>
    </row>
    <row r="416" ht="15.75" customHeight="1">
      <c r="D416" s="42"/>
      <c r="E416" s="42"/>
    </row>
    <row r="417" ht="15.75" customHeight="1">
      <c r="D417" s="42"/>
      <c r="E417" s="42"/>
    </row>
    <row r="418" ht="15.75" customHeight="1">
      <c r="D418" s="42"/>
      <c r="E418" s="42"/>
    </row>
    <row r="419" ht="15.75" customHeight="1">
      <c r="D419" s="42"/>
      <c r="E419" s="42"/>
    </row>
    <row r="420" ht="15.75" customHeight="1">
      <c r="D420" s="42"/>
      <c r="E420" s="42"/>
    </row>
    <row r="421" ht="15.75" customHeight="1">
      <c r="D421" s="42"/>
      <c r="E421" s="42"/>
    </row>
    <row r="422" ht="15.75" customHeight="1">
      <c r="D422" s="42"/>
      <c r="E422" s="42"/>
    </row>
    <row r="423" ht="15.75" customHeight="1">
      <c r="D423" s="42"/>
      <c r="E423" s="42"/>
    </row>
    <row r="424" ht="15.75" customHeight="1">
      <c r="D424" s="42"/>
      <c r="E424" s="42"/>
    </row>
    <row r="425" ht="15.75" customHeight="1">
      <c r="D425" s="42"/>
      <c r="E425" s="42"/>
    </row>
    <row r="426" ht="15.75" customHeight="1">
      <c r="D426" s="42"/>
      <c r="E426" s="42"/>
    </row>
    <row r="427" ht="15.75" customHeight="1">
      <c r="D427" s="42"/>
      <c r="E427" s="42"/>
    </row>
    <row r="428" ht="15.75" customHeight="1">
      <c r="D428" s="42"/>
      <c r="E428" s="42"/>
    </row>
    <row r="429" ht="15.75" customHeight="1">
      <c r="D429" s="42"/>
      <c r="E429" s="42"/>
    </row>
    <row r="430" ht="15.75" customHeight="1">
      <c r="D430" s="42"/>
      <c r="E430" s="42"/>
    </row>
    <row r="431" ht="15.75" customHeight="1">
      <c r="D431" s="42"/>
      <c r="E431" s="42"/>
    </row>
    <row r="432" ht="15.75" customHeight="1">
      <c r="D432" s="42"/>
      <c r="E432" s="42"/>
    </row>
    <row r="433" ht="15.75" customHeight="1">
      <c r="D433" s="42"/>
      <c r="E433" s="42"/>
    </row>
    <row r="434" ht="15.75" customHeight="1">
      <c r="D434" s="42"/>
      <c r="E434" s="42"/>
    </row>
    <row r="435" ht="15.75" customHeight="1">
      <c r="D435" s="42"/>
      <c r="E435" s="42"/>
    </row>
    <row r="436" ht="15.75" customHeight="1">
      <c r="D436" s="42"/>
      <c r="E436" s="42"/>
    </row>
    <row r="437" ht="15.75" customHeight="1">
      <c r="D437" s="42"/>
      <c r="E437" s="42"/>
    </row>
    <row r="438" ht="15.75" customHeight="1">
      <c r="D438" s="42"/>
      <c r="E438" s="42"/>
    </row>
    <row r="439" ht="15.75" customHeight="1">
      <c r="D439" s="42"/>
      <c r="E439" s="42"/>
    </row>
    <row r="440" ht="15.75" customHeight="1">
      <c r="D440" s="42"/>
      <c r="E440" s="42"/>
    </row>
    <row r="441" ht="15.75" customHeight="1">
      <c r="D441" s="42"/>
      <c r="E441" s="42"/>
    </row>
    <row r="442" ht="15.75" customHeight="1">
      <c r="D442" s="42"/>
      <c r="E442" s="42"/>
    </row>
    <row r="443" ht="15.75" customHeight="1">
      <c r="D443" s="42"/>
      <c r="E443" s="42"/>
    </row>
    <row r="444" ht="15.75" customHeight="1">
      <c r="D444" s="42"/>
      <c r="E444" s="42"/>
    </row>
    <row r="445" ht="15.75" customHeight="1">
      <c r="D445" s="42"/>
      <c r="E445" s="42"/>
    </row>
    <row r="446" ht="15.75" customHeight="1">
      <c r="D446" s="42"/>
      <c r="E446" s="42"/>
    </row>
    <row r="447" ht="15.75" customHeight="1">
      <c r="D447" s="42"/>
      <c r="E447" s="42"/>
    </row>
    <row r="448" ht="15.75" customHeight="1">
      <c r="D448" s="42"/>
      <c r="E448" s="42"/>
    </row>
    <row r="449" ht="15.75" customHeight="1">
      <c r="D449" s="42"/>
      <c r="E449" s="42"/>
    </row>
    <row r="450" ht="15.75" customHeight="1">
      <c r="D450" s="42"/>
      <c r="E450" s="42"/>
    </row>
    <row r="451" ht="15.75" customHeight="1">
      <c r="D451" s="42"/>
      <c r="E451" s="42"/>
    </row>
    <row r="452" ht="15.75" customHeight="1">
      <c r="D452" s="42"/>
      <c r="E452" s="42"/>
    </row>
    <row r="453" ht="15.75" customHeight="1">
      <c r="D453" s="42"/>
      <c r="E453" s="42"/>
    </row>
    <row r="454" ht="15.75" customHeight="1">
      <c r="D454" s="42"/>
      <c r="E454" s="42"/>
    </row>
    <row r="455" ht="15.75" customHeight="1">
      <c r="D455" s="42"/>
      <c r="E455" s="42"/>
    </row>
    <row r="456" ht="15.75" customHeight="1">
      <c r="D456" s="42"/>
      <c r="E456" s="42"/>
    </row>
    <row r="457" ht="15.75" customHeight="1">
      <c r="D457" s="42"/>
      <c r="E457" s="42"/>
    </row>
    <row r="458" ht="15.75" customHeight="1">
      <c r="D458" s="42"/>
      <c r="E458" s="42"/>
    </row>
    <row r="459" ht="15.75" customHeight="1">
      <c r="D459" s="42"/>
      <c r="E459" s="42"/>
    </row>
    <row r="460" ht="15.75" customHeight="1">
      <c r="D460" s="42"/>
      <c r="E460" s="42"/>
    </row>
    <row r="461" ht="15.75" customHeight="1">
      <c r="D461" s="42"/>
      <c r="E461" s="42"/>
    </row>
    <row r="462" ht="15.75" customHeight="1">
      <c r="D462" s="42"/>
      <c r="E462" s="42"/>
    </row>
    <row r="463" ht="15.75" customHeight="1">
      <c r="D463" s="42"/>
      <c r="E463" s="42"/>
    </row>
    <row r="464" ht="15.75" customHeight="1">
      <c r="D464" s="42"/>
      <c r="E464" s="42"/>
    </row>
    <row r="465" ht="15.75" customHeight="1">
      <c r="D465" s="42"/>
      <c r="E465" s="42"/>
    </row>
    <row r="466" ht="15.75" customHeight="1">
      <c r="D466" s="42"/>
      <c r="E466" s="42"/>
    </row>
    <row r="467" ht="15.75" customHeight="1">
      <c r="D467" s="42"/>
      <c r="E467" s="42"/>
    </row>
    <row r="468" ht="15.75" customHeight="1">
      <c r="D468" s="42"/>
      <c r="E468" s="42"/>
    </row>
    <row r="469" ht="15.75" customHeight="1">
      <c r="D469" s="42"/>
      <c r="E469" s="42"/>
    </row>
    <row r="470" ht="15.75" customHeight="1">
      <c r="D470" s="42"/>
      <c r="E470" s="42"/>
    </row>
    <row r="471" ht="15.75" customHeight="1">
      <c r="D471" s="42"/>
      <c r="E471" s="42"/>
    </row>
    <row r="472" ht="15.75" customHeight="1">
      <c r="D472" s="42"/>
      <c r="E472" s="42"/>
    </row>
    <row r="473" ht="15.75" customHeight="1">
      <c r="D473" s="42"/>
      <c r="E473" s="42"/>
    </row>
    <row r="474" ht="15.75" customHeight="1">
      <c r="D474" s="42"/>
      <c r="E474" s="42"/>
    </row>
    <row r="475" ht="15.75" customHeight="1">
      <c r="D475" s="42"/>
      <c r="E475" s="42"/>
    </row>
    <row r="476" ht="15.75" customHeight="1">
      <c r="D476" s="42"/>
      <c r="E476" s="42"/>
    </row>
    <row r="477" ht="15.75" customHeight="1">
      <c r="D477" s="42"/>
      <c r="E477" s="42"/>
    </row>
    <row r="478" ht="15.75" customHeight="1">
      <c r="D478" s="42"/>
      <c r="E478" s="42"/>
    </row>
    <row r="479" ht="15.75" customHeight="1">
      <c r="D479" s="42"/>
      <c r="E479" s="42"/>
    </row>
    <row r="480" ht="15.75" customHeight="1">
      <c r="D480" s="42"/>
      <c r="E480" s="42"/>
    </row>
    <row r="481" ht="15.75" customHeight="1">
      <c r="D481" s="42"/>
      <c r="E481" s="42"/>
    </row>
    <row r="482" ht="15.75" customHeight="1">
      <c r="D482" s="42"/>
      <c r="E482" s="42"/>
    </row>
    <row r="483" ht="15.75" customHeight="1">
      <c r="D483" s="42"/>
      <c r="E483" s="42"/>
    </row>
    <row r="484" ht="15.75" customHeight="1">
      <c r="D484" s="42"/>
      <c r="E484" s="42"/>
    </row>
    <row r="485" ht="15.75" customHeight="1">
      <c r="D485" s="42"/>
      <c r="E485" s="42"/>
    </row>
    <row r="486" ht="15.75" customHeight="1">
      <c r="D486" s="42"/>
      <c r="E486" s="42"/>
    </row>
    <row r="487" ht="15.75" customHeight="1">
      <c r="D487" s="42"/>
      <c r="E487" s="42"/>
    </row>
    <row r="488" ht="15.75" customHeight="1">
      <c r="D488" s="42"/>
      <c r="E488" s="42"/>
    </row>
    <row r="489" ht="15.75" customHeight="1">
      <c r="D489" s="42"/>
      <c r="E489" s="42"/>
    </row>
    <row r="490" ht="15.75" customHeight="1">
      <c r="D490" s="42"/>
      <c r="E490" s="42"/>
    </row>
    <row r="491" ht="15.75" customHeight="1">
      <c r="D491" s="42"/>
      <c r="E491" s="42"/>
    </row>
    <row r="492" ht="15.75" customHeight="1">
      <c r="D492" s="42"/>
      <c r="E492" s="42"/>
    </row>
    <row r="493" ht="15.75" customHeight="1">
      <c r="D493" s="42"/>
      <c r="E493" s="42"/>
    </row>
    <row r="494" ht="15.75" customHeight="1">
      <c r="D494" s="42"/>
      <c r="E494" s="42"/>
    </row>
    <row r="495" ht="15.75" customHeight="1">
      <c r="D495" s="42"/>
      <c r="E495" s="42"/>
    </row>
    <row r="496" ht="15.75" customHeight="1">
      <c r="D496" s="42"/>
      <c r="E496" s="42"/>
    </row>
    <row r="497" ht="15.75" customHeight="1">
      <c r="D497" s="42"/>
      <c r="E497" s="42"/>
    </row>
    <row r="498" ht="15.75" customHeight="1">
      <c r="D498" s="42"/>
      <c r="E498" s="42"/>
    </row>
    <row r="499" ht="15.75" customHeight="1">
      <c r="D499" s="42"/>
      <c r="E499" s="42"/>
    </row>
    <row r="500" ht="15.75" customHeight="1">
      <c r="D500" s="42"/>
      <c r="E500" s="42"/>
    </row>
    <row r="501" ht="15.75" customHeight="1">
      <c r="D501" s="42"/>
      <c r="E501" s="42"/>
    </row>
    <row r="502" ht="15.75" customHeight="1">
      <c r="D502" s="42"/>
      <c r="E502" s="42"/>
    </row>
    <row r="503" ht="15.75" customHeight="1">
      <c r="D503" s="42"/>
      <c r="E503" s="42"/>
    </row>
    <row r="504" ht="15.75" customHeight="1">
      <c r="D504" s="42"/>
      <c r="E504" s="42"/>
    </row>
    <row r="505" ht="15.75" customHeight="1">
      <c r="D505" s="42"/>
      <c r="E505" s="42"/>
    </row>
    <row r="506" ht="15.75" customHeight="1">
      <c r="D506" s="42"/>
      <c r="E506" s="42"/>
    </row>
    <row r="507" ht="15.75" customHeight="1">
      <c r="D507" s="42"/>
      <c r="E507" s="42"/>
    </row>
    <row r="508" ht="15.75" customHeight="1">
      <c r="D508" s="42"/>
      <c r="E508" s="42"/>
    </row>
    <row r="509" ht="15.75" customHeight="1">
      <c r="D509" s="42"/>
      <c r="E509" s="42"/>
    </row>
    <row r="510" ht="15.75" customHeight="1">
      <c r="D510" s="42"/>
      <c r="E510" s="42"/>
    </row>
    <row r="511" ht="15.75" customHeight="1">
      <c r="D511" s="42"/>
      <c r="E511" s="42"/>
    </row>
    <row r="512" ht="15.75" customHeight="1">
      <c r="D512" s="42"/>
      <c r="E512" s="42"/>
    </row>
    <row r="513" ht="15.75" customHeight="1">
      <c r="D513" s="42"/>
      <c r="E513" s="42"/>
    </row>
    <row r="514" ht="15.75" customHeight="1">
      <c r="D514" s="42"/>
      <c r="E514" s="42"/>
    </row>
    <row r="515" ht="15.75" customHeight="1">
      <c r="D515" s="42"/>
      <c r="E515" s="42"/>
    </row>
    <row r="516" ht="15.75" customHeight="1">
      <c r="D516" s="42"/>
      <c r="E516" s="42"/>
    </row>
    <row r="517" ht="15.75" customHeight="1">
      <c r="D517" s="42"/>
      <c r="E517" s="42"/>
    </row>
    <row r="518" ht="15.75" customHeight="1">
      <c r="D518" s="42"/>
      <c r="E518" s="42"/>
    </row>
    <row r="519" ht="15.75" customHeight="1">
      <c r="D519" s="42"/>
      <c r="E519" s="42"/>
    </row>
    <row r="520" ht="15.75" customHeight="1">
      <c r="D520" s="42"/>
      <c r="E520" s="42"/>
    </row>
    <row r="521" ht="15.75" customHeight="1">
      <c r="D521" s="42"/>
      <c r="E521" s="42"/>
    </row>
    <row r="522" ht="15.75" customHeight="1">
      <c r="D522" s="42"/>
      <c r="E522" s="42"/>
    </row>
    <row r="523" ht="15.75" customHeight="1">
      <c r="D523" s="42"/>
      <c r="E523" s="42"/>
    </row>
    <row r="524" ht="15.75" customHeight="1">
      <c r="D524" s="42"/>
      <c r="E524" s="42"/>
    </row>
    <row r="525" ht="15.75" customHeight="1">
      <c r="D525" s="42"/>
      <c r="E525" s="42"/>
    </row>
    <row r="526" ht="15.75" customHeight="1">
      <c r="D526" s="42"/>
      <c r="E526" s="42"/>
    </row>
    <row r="527" ht="15.75" customHeight="1">
      <c r="D527" s="42"/>
      <c r="E527" s="42"/>
    </row>
    <row r="528" ht="15.75" customHeight="1">
      <c r="D528" s="42"/>
      <c r="E528" s="42"/>
    </row>
    <row r="529" ht="15.75" customHeight="1">
      <c r="D529" s="42"/>
      <c r="E529" s="42"/>
    </row>
    <row r="530" ht="15.75" customHeight="1">
      <c r="D530" s="42"/>
      <c r="E530" s="42"/>
    </row>
    <row r="531" ht="15.75" customHeight="1">
      <c r="D531" s="42"/>
      <c r="E531" s="42"/>
    </row>
    <row r="532" ht="15.75" customHeight="1">
      <c r="D532" s="42"/>
      <c r="E532" s="42"/>
    </row>
    <row r="533" ht="15.75" customHeight="1">
      <c r="D533" s="42"/>
      <c r="E533" s="42"/>
    </row>
    <row r="534" ht="15.75" customHeight="1">
      <c r="D534" s="42"/>
      <c r="E534" s="42"/>
    </row>
    <row r="535" ht="15.75" customHeight="1">
      <c r="D535" s="42"/>
      <c r="E535" s="42"/>
    </row>
    <row r="536" ht="15.75" customHeight="1">
      <c r="D536" s="42"/>
      <c r="E536" s="42"/>
    </row>
    <row r="537" ht="15.75" customHeight="1">
      <c r="D537" s="42"/>
      <c r="E537" s="42"/>
    </row>
    <row r="538" ht="15.75" customHeight="1">
      <c r="D538" s="42"/>
      <c r="E538" s="42"/>
    </row>
    <row r="539" ht="15.75" customHeight="1">
      <c r="D539" s="42"/>
      <c r="E539" s="42"/>
    </row>
    <row r="540" ht="15.75" customHeight="1">
      <c r="D540" s="42"/>
      <c r="E540" s="42"/>
    </row>
    <row r="541" ht="15.75" customHeight="1">
      <c r="D541" s="42"/>
      <c r="E541" s="42"/>
    </row>
    <row r="542" ht="15.75" customHeight="1">
      <c r="D542" s="42"/>
      <c r="E542" s="42"/>
    </row>
    <row r="543" ht="15.75" customHeight="1">
      <c r="D543" s="42"/>
      <c r="E543" s="42"/>
    </row>
    <row r="544" ht="15.75" customHeight="1">
      <c r="D544" s="42"/>
      <c r="E544" s="42"/>
    </row>
    <row r="545" ht="15.75" customHeight="1">
      <c r="D545" s="42"/>
      <c r="E545" s="42"/>
    </row>
    <row r="546" ht="15.75" customHeight="1">
      <c r="D546" s="42"/>
      <c r="E546" s="42"/>
    </row>
    <row r="547" ht="15.75" customHeight="1">
      <c r="D547" s="42"/>
      <c r="E547" s="42"/>
    </row>
    <row r="548" ht="15.75" customHeight="1">
      <c r="D548" s="42"/>
      <c r="E548" s="42"/>
    </row>
    <row r="549" ht="15.75" customHeight="1">
      <c r="D549" s="42"/>
      <c r="E549" s="42"/>
    </row>
    <row r="550" ht="15.75" customHeight="1">
      <c r="D550" s="42"/>
      <c r="E550" s="42"/>
    </row>
    <row r="551" ht="15.75" customHeight="1">
      <c r="D551" s="42"/>
      <c r="E551" s="42"/>
    </row>
    <row r="552" ht="15.75" customHeight="1">
      <c r="D552" s="42"/>
      <c r="E552" s="42"/>
    </row>
    <row r="553" ht="15.75" customHeight="1">
      <c r="D553" s="42"/>
      <c r="E553" s="42"/>
    </row>
    <row r="554" ht="15.75" customHeight="1">
      <c r="D554" s="42"/>
      <c r="E554" s="42"/>
    </row>
    <row r="555" ht="15.75" customHeight="1">
      <c r="D555" s="42"/>
      <c r="E555" s="42"/>
    </row>
    <row r="556" ht="15.75" customHeight="1">
      <c r="D556" s="42"/>
      <c r="E556" s="42"/>
    </row>
    <row r="557" ht="15.75" customHeight="1">
      <c r="D557" s="42"/>
      <c r="E557" s="42"/>
    </row>
    <row r="558" ht="15.75" customHeight="1">
      <c r="D558" s="42"/>
      <c r="E558" s="42"/>
    </row>
    <row r="559" ht="15.75" customHeight="1">
      <c r="D559" s="42"/>
      <c r="E559" s="42"/>
    </row>
    <row r="560" ht="15.75" customHeight="1">
      <c r="D560" s="42"/>
      <c r="E560" s="42"/>
    </row>
    <row r="561" ht="15.75" customHeight="1">
      <c r="D561" s="42"/>
      <c r="E561" s="42"/>
    </row>
    <row r="562" ht="15.75" customHeight="1">
      <c r="D562" s="42"/>
      <c r="E562" s="42"/>
    </row>
    <row r="563" ht="15.75" customHeight="1">
      <c r="D563" s="42"/>
      <c r="E563" s="42"/>
    </row>
    <row r="564" ht="15.75" customHeight="1">
      <c r="D564" s="42"/>
      <c r="E564" s="42"/>
    </row>
    <row r="565" ht="15.75" customHeight="1">
      <c r="D565" s="42"/>
      <c r="E565" s="42"/>
    </row>
    <row r="566" ht="15.75" customHeight="1">
      <c r="D566" s="42"/>
      <c r="E566" s="42"/>
    </row>
    <row r="567" ht="15.75" customHeight="1">
      <c r="D567" s="42"/>
      <c r="E567" s="42"/>
    </row>
    <row r="568" ht="15.75" customHeight="1">
      <c r="D568" s="42"/>
      <c r="E568" s="42"/>
    </row>
    <row r="569" ht="15.75" customHeight="1">
      <c r="D569" s="42"/>
      <c r="E569" s="42"/>
    </row>
    <row r="570" ht="15.75" customHeight="1">
      <c r="D570" s="42"/>
      <c r="E570" s="42"/>
    </row>
    <row r="571" ht="15.75" customHeight="1">
      <c r="D571" s="42"/>
      <c r="E571" s="42"/>
    </row>
    <row r="572" ht="15.75" customHeight="1">
      <c r="D572" s="42"/>
      <c r="E572" s="42"/>
    </row>
    <row r="573" ht="15.75" customHeight="1">
      <c r="D573" s="42"/>
      <c r="E573" s="42"/>
    </row>
    <row r="574" ht="15.75" customHeight="1">
      <c r="D574" s="42"/>
      <c r="E574" s="42"/>
    </row>
    <row r="575" ht="15.75" customHeight="1">
      <c r="D575" s="42"/>
      <c r="E575" s="42"/>
    </row>
    <row r="576" ht="15.75" customHeight="1">
      <c r="D576" s="42"/>
      <c r="E576" s="42"/>
    </row>
    <row r="577" ht="15.75" customHeight="1">
      <c r="D577" s="42"/>
      <c r="E577" s="42"/>
    </row>
    <row r="578" ht="15.75" customHeight="1">
      <c r="D578" s="42"/>
      <c r="E578" s="42"/>
    </row>
    <row r="579" ht="15.75" customHeight="1">
      <c r="D579" s="42"/>
      <c r="E579" s="42"/>
    </row>
    <row r="580" ht="15.75" customHeight="1">
      <c r="D580" s="42"/>
      <c r="E580" s="42"/>
    </row>
    <row r="581" ht="15.75" customHeight="1">
      <c r="D581" s="42"/>
      <c r="E581" s="42"/>
    </row>
    <row r="582" ht="15.75" customHeight="1">
      <c r="D582" s="42"/>
      <c r="E582" s="42"/>
    </row>
    <row r="583" ht="15.75" customHeight="1">
      <c r="D583" s="42"/>
      <c r="E583" s="42"/>
    </row>
    <row r="584" ht="15.75" customHeight="1">
      <c r="D584" s="42"/>
      <c r="E584" s="42"/>
    </row>
    <row r="585" ht="15.75" customHeight="1">
      <c r="D585" s="42"/>
      <c r="E585" s="42"/>
    </row>
    <row r="586" ht="15.75" customHeight="1">
      <c r="D586" s="42"/>
      <c r="E586" s="42"/>
    </row>
    <row r="587" ht="15.75" customHeight="1">
      <c r="D587" s="42"/>
      <c r="E587" s="42"/>
    </row>
    <row r="588" ht="15.75" customHeight="1">
      <c r="D588" s="42"/>
      <c r="E588" s="42"/>
    </row>
    <row r="589" ht="15.75" customHeight="1">
      <c r="D589" s="42"/>
      <c r="E589" s="42"/>
    </row>
    <row r="590" ht="15.75" customHeight="1">
      <c r="D590" s="42"/>
      <c r="E590" s="42"/>
    </row>
    <row r="591" ht="15.75" customHeight="1">
      <c r="D591" s="42"/>
      <c r="E591" s="42"/>
    </row>
    <row r="592" ht="15.75" customHeight="1">
      <c r="D592" s="42"/>
      <c r="E592" s="42"/>
    </row>
    <row r="593" ht="15.75" customHeight="1">
      <c r="D593" s="42"/>
      <c r="E593" s="42"/>
    </row>
    <row r="594" ht="15.75" customHeight="1">
      <c r="D594" s="42"/>
      <c r="E594" s="42"/>
    </row>
    <row r="595" ht="15.75" customHeight="1">
      <c r="D595" s="42"/>
      <c r="E595" s="42"/>
    </row>
    <row r="596" ht="15.75" customHeight="1">
      <c r="D596" s="42"/>
      <c r="E596" s="42"/>
    </row>
    <row r="597" ht="15.75" customHeight="1">
      <c r="D597" s="42"/>
      <c r="E597" s="42"/>
    </row>
    <row r="598" ht="15.75" customHeight="1">
      <c r="D598" s="42"/>
      <c r="E598" s="42"/>
    </row>
    <row r="599" ht="15.75" customHeight="1">
      <c r="D599" s="42"/>
      <c r="E599" s="42"/>
    </row>
    <row r="600" ht="15.75" customHeight="1">
      <c r="D600" s="42"/>
      <c r="E600" s="42"/>
    </row>
    <row r="601" ht="15.75" customHeight="1">
      <c r="D601" s="42"/>
      <c r="E601" s="42"/>
    </row>
    <row r="602" ht="15.75" customHeight="1">
      <c r="D602" s="42"/>
      <c r="E602" s="42"/>
    </row>
    <row r="603" ht="15.75" customHeight="1">
      <c r="D603" s="42"/>
      <c r="E603" s="42"/>
    </row>
    <row r="604" ht="15.75" customHeight="1">
      <c r="D604" s="42"/>
      <c r="E604" s="42"/>
    </row>
    <row r="605" ht="15.75" customHeight="1">
      <c r="D605" s="42"/>
      <c r="E605" s="42"/>
    </row>
    <row r="606" ht="15.75" customHeight="1">
      <c r="D606" s="42"/>
      <c r="E606" s="42"/>
    </row>
    <row r="607" ht="15.75" customHeight="1">
      <c r="D607" s="42"/>
      <c r="E607" s="42"/>
    </row>
    <row r="608" ht="15.75" customHeight="1">
      <c r="D608" s="42"/>
      <c r="E608" s="42"/>
    </row>
    <row r="609" ht="15.75" customHeight="1">
      <c r="D609" s="42"/>
      <c r="E609" s="42"/>
    </row>
    <row r="610" ht="15.75" customHeight="1">
      <c r="D610" s="42"/>
      <c r="E610" s="42"/>
    </row>
    <row r="611" ht="15.75" customHeight="1">
      <c r="D611" s="42"/>
      <c r="E611" s="42"/>
    </row>
    <row r="612" ht="15.75" customHeight="1">
      <c r="D612" s="42"/>
      <c r="E612" s="42"/>
    </row>
    <row r="613" ht="15.75" customHeight="1">
      <c r="D613" s="42"/>
      <c r="E613" s="42"/>
    </row>
    <row r="614" ht="15.75" customHeight="1">
      <c r="D614" s="42"/>
      <c r="E614" s="42"/>
    </row>
    <row r="615" ht="15.75" customHeight="1">
      <c r="D615" s="42"/>
      <c r="E615" s="42"/>
    </row>
    <row r="616" ht="15.75" customHeight="1">
      <c r="D616" s="42"/>
      <c r="E616" s="42"/>
    </row>
    <row r="617" ht="15.75" customHeight="1">
      <c r="D617" s="42"/>
      <c r="E617" s="42"/>
    </row>
    <row r="618" ht="15.75" customHeight="1">
      <c r="D618" s="42"/>
      <c r="E618" s="42"/>
    </row>
    <row r="619" ht="15.75" customHeight="1">
      <c r="D619" s="42"/>
      <c r="E619" s="42"/>
    </row>
    <row r="620" ht="15.75" customHeight="1">
      <c r="D620" s="42"/>
      <c r="E620" s="42"/>
    </row>
    <row r="621" ht="15.75" customHeight="1">
      <c r="D621" s="42"/>
      <c r="E621" s="42"/>
    </row>
    <row r="622" ht="15.75" customHeight="1">
      <c r="D622" s="42"/>
      <c r="E622" s="42"/>
    </row>
    <row r="623" ht="15.75" customHeight="1">
      <c r="D623" s="42"/>
      <c r="E623" s="42"/>
    </row>
    <row r="624" ht="15.75" customHeight="1">
      <c r="D624" s="42"/>
      <c r="E624" s="42"/>
    </row>
    <row r="625" ht="15.75" customHeight="1">
      <c r="D625" s="42"/>
      <c r="E625" s="42"/>
    </row>
    <row r="626" ht="15.75" customHeight="1">
      <c r="D626" s="42"/>
      <c r="E626" s="42"/>
    </row>
    <row r="627" ht="15.75" customHeight="1">
      <c r="D627" s="42"/>
      <c r="E627" s="42"/>
    </row>
    <row r="628" ht="15.75" customHeight="1">
      <c r="D628" s="42"/>
      <c r="E628" s="42"/>
    </row>
    <row r="629" ht="15.75" customHeight="1">
      <c r="D629" s="42"/>
      <c r="E629" s="42"/>
    </row>
    <row r="630" ht="15.75" customHeight="1">
      <c r="D630" s="42"/>
      <c r="E630" s="42"/>
    </row>
    <row r="631" ht="15.75" customHeight="1">
      <c r="D631" s="42"/>
      <c r="E631" s="42"/>
    </row>
    <row r="632" ht="15.75" customHeight="1">
      <c r="D632" s="42"/>
      <c r="E632" s="42"/>
    </row>
    <row r="633" ht="15.75" customHeight="1">
      <c r="D633" s="42"/>
      <c r="E633" s="42"/>
    </row>
    <row r="634" ht="15.75" customHeight="1">
      <c r="D634" s="42"/>
      <c r="E634" s="42"/>
    </row>
    <row r="635" ht="15.75" customHeight="1">
      <c r="D635" s="42"/>
      <c r="E635" s="42"/>
    </row>
    <row r="636" ht="15.75" customHeight="1">
      <c r="D636" s="42"/>
      <c r="E636" s="42"/>
    </row>
    <row r="637" ht="15.75" customHeight="1">
      <c r="D637" s="42"/>
      <c r="E637" s="42"/>
    </row>
    <row r="638" ht="15.75" customHeight="1">
      <c r="D638" s="42"/>
      <c r="E638" s="42"/>
    </row>
    <row r="639" ht="15.75" customHeight="1">
      <c r="D639" s="42"/>
      <c r="E639" s="42"/>
    </row>
    <row r="640" ht="15.75" customHeight="1">
      <c r="D640" s="42"/>
      <c r="E640" s="42"/>
    </row>
    <row r="641" ht="15.75" customHeight="1">
      <c r="D641" s="42"/>
      <c r="E641" s="42"/>
    </row>
    <row r="642" ht="15.75" customHeight="1">
      <c r="D642" s="42"/>
      <c r="E642" s="42"/>
    </row>
    <row r="643" ht="15.75" customHeight="1">
      <c r="D643" s="42"/>
      <c r="E643" s="42"/>
    </row>
    <row r="644" ht="15.75" customHeight="1">
      <c r="D644" s="42"/>
      <c r="E644" s="42"/>
    </row>
    <row r="645" ht="15.75" customHeight="1">
      <c r="D645" s="42"/>
      <c r="E645" s="42"/>
    </row>
    <row r="646" ht="15.75" customHeight="1">
      <c r="D646" s="42"/>
      <c r="E646" s="42"/>
    </row>
    <row r="647" ht="15.75" customHeight="1">
      <c r="D647" s="42"/>
      <c r="E647" s="42"/>
    </row>
    <row r="648" ht="15.75" customHeight="1">
      <c r="D648" s="42"/>
      <c r="E648" s="42"/>
    </row>
    <row r="649" ht="15.75" customHeight="1">
      <c r="D649" s="42"/>
      <c r="E649" s="42"/>
    </row>
    <row r="650" ht="15.75" customHeight="1">
      <c r="D650" s="42"/>
      <c r="E650" s="42"/>
    </row>
    <row r="651" ht="15.75" customHeight="1">
      <c r="D651" s="42"/>
      <c r="E651" s="42"/>
    </row>
    <row r="652" ht="15.75" customHeight="1">
      <c r="D652" s="42"/>
      <c r="E652" s="42"/>
    </row>
    <row r="653" ht="15.75" customHeight="1">
      <c r="D653" s="42"/>
      <c r="E653" s="42"/>
    </row>
    <row r="654" ht="15.75" customHeight="1">
      <c r="D654" s="42"/>
      <c r="E654" s="42"/>
    </row>
    <row r="655" ht="15.75" customHeight="1">
      <c r="D655" s="42"/>
      <c r="E655" s="42"/>
    </row>
    <row r="656" ht="15.75" customHeight="1">
      <c r="D656" s="42"/>
      <c r="E656" s="42"/>
    </row>
    <row r="657" ht="15.75" customHeight="1">
      <c r="D657" s="42"/>
      <c r="E657" s="42"/>
    </row>
    <row r="658" ht="15.75" customHeight="1">
      <c r="D658" s="42"/>
      <c r="E658" s="42"/>
    </row>
    <row r="659" ht="15.75" customHeight="1">
      <c r="D659" s="42"/>
      <c r="E659" s="42"/>
    </row>
    <row r="660" ht="15.75" customHeight="1">
      <c r="D660" s="42"/>
      <c r="E660" s="42"/>
    </row>
    <row r="661" ht="15.75" customHeight="1">
      <c r="D661" s="42"/>
      <c r="E661" s="42"/>
    </row>
    <row r="662" ht="15.75" customHeight="1">
      <c r="D662" s="42"/>
      <c r="E662" s="42"/>
    </row>
    <row r="663" ht="15.75" customHeight="1">
      <c r="D663" s="42"/>
      <c r="E663" s="42"/>
    </row>
    <row r="664" ht="15.75" customHeight="1">
      <c r="D664" s="42"/>
      <c r="E664" s="42"/>
    </row>
    <row r="665" ht="15.75" customHeight="1">
      <c r="D665" s="42"/>
      <c r="E665" s="42"/>
    </row>
    <row r="666" ht="15.75" customHeight="1">
      <c r="D666" s="42"/>
      <c r="E666" s="42"/>
    </row>
    <row r="667" ht="15.75" customHeight="1">
      <c r="D667" s="42"/>
      <c r="E667" s="42"/>
    </row>
    <row r="668" ht="15.75" customHeight="1">
      <c r="D668" s="42"/>
      <c r="E668" s="42"/>
    </row>
    <row r="669" ht="15.75" customHeight="1">
      <c r="D669" s="42"/>
      <c r="E669" s="42"/>
    </row>
    <row r="670" ht="15.75" customHeight="1">
      <c r="D670" s="42"/>
      <c r="E670" s="42"/>
    </row>
    <row r="671" ht="15.75" customHeight="1">
      <c r="D671" s="42"/>
      <c r="E671" s="42"/>
    </row>
    <row r="672" ht="15.75" customHeight="1">
      <c r="D672" s="42"/>
      <c r="E672" s="42"/>
    </row>
    <row r="673" ht="15.75" customHeight="1">
      <c r="D673" s="42"/>
      <c r="E673" s="42"/>
    </row>
    <row r="674" ht="15.75" customHeight="1">
      <c r="D674" s="42"/>
      <c r="E674" s="42"/>
    </row>
    <row r="675" ht="15.75" customHeight="1">
      <c r="D675" s="42"/>
      <c r="E675" s="42"/>
    </row>
    <row r="676" ht="15.75" customHeight="1">
      <c r="D676" s="42"/>
      <c r="E676" s="42"/>
    </row>
    <row r="677" ht="15.75" customHeight="1">
      <c r="D677" s="42"/>
      <c r="E677" s="42"/>
    </row>
    <row r="678" ht="15.75" customHeight="1">
      <c r="D678" s="42"/>
      <c r="E678" s="42"/>
    </row>
    <row r="679" ht="15.75" customHeight="1">
      <c r="D679" s="42"/>
      <c r="E679" s="42"/>
    </row>
    <row r="680" ht="15.75" customHeight="1">
      <c r="D680" s="42"/>
      <c r="E680" s="42"/>
    </row>
    <row r="681" ht="15.75" customHeight="1">
      <c r="D681" s="42"/>
      <c r="E681" s="42"/>
    </row>
    <row r="682" ht="15.75" customHeight="1">
      <c r="D682" s="42"/>
      <c r="E682" s="42"/>
    </row>
    <row r="683" ht="15.75" customHeight="1">
      <c r="D683" s="42"/>
      <c r="E683" s="42"/>
    </row>
    <row r="684" ht="15.75" customHeight="1">
      <c r="D684" s="42"/>
      <c r="E684" s="42"/>
    </row>
    <row r="685" ht="15.75" customHeight="1">
      <c r="D685" s="42"/>
      <c r="E685" s="42"/>
    </row>
    <row r="686" ht="15.75" customHeight="1">
      <c r="D686" s="42"/>
      <c r="E686" s="42"/>
    </row>
    <row r="687" ht="15.75" customHeight="1">
      <c r="D687" s="42"/>
      <c r="E687" s="42"/>
    </row>
    <row r="688" ht="15.75" customHeight="1">
      <c r="D688" s="42"/>
      <c r="E688" s="42"/>
    </row>
    <row r="689" ht="15.75" customHeight="1">
      <c r="D689" s="42"/>
      <c r="E689" s="42"/>
    </row>
    <row r="690" ht="15.75" customHeight="1">
      <c r="D690" s="42"/>
      <c r="E690" s="42"/>
    </row>
    <row r="691" ht="15.75" customHeight="1">
      <c r="D691" s="42"/>
      <c r="E691" s="42"/>
    </row>
    <row r="692" ht="15.75" customHeight="1">
      <c r="D692" s="42"/>
      <c r="E692" s="42"/>
    </row>
    <row r="693" ht="15.75" customHeight="1">
      <c r="D693" s="42"/>
      <c r="E693" s="42"/>
    </row>
    <row r="694" ht="15.75" customHeight="1">
      <c r="D694" s="42"/>
      <c r="E694" s="42"/>
    </row>
    <row r="695" ht="15.75" customHeight="1">
      <c r="D695" s="42"/>
      <c r="E695" s="42"/>
    </row>
    <row r="696" ht="15.75" customHeight="1">
      <c r="D696" s="42"/>
      <c r="E696" s="42"/>
    </row>
    <row r="697" ht="15.75" customHeight="1">
      <c r="D697" s="42"/>
      <c r="E697" s="42"/>
    </row>
    <row r="698" ht="15.75" customHeight="1">
      <c r="D698" s="42"/>
      <c r="E698" s="42"/>
    </row>
    <row r="699" ht="15.75" customHeight="1">
      <c r="D699" s="42"/>
      <c r="E699" s="42"/>
    </row>
    <row r="700" ht="15.75" customHeight="1">
      <c r="D700" s="42"/>
      <c r="E700" s="42"/>
    </row>
    <row r="701" ht="15.75" customHeight="1">
      <c r="D701" s="42"/>
      <c r="E701" s="42"/>
    </row>
    <row r="702" ht="15.75" customHeight="1">
      <c r="D702" s="42"/>
      <c r="E702" s="42"/>
    </row>
    <row r="703" ht="15.75" customHeight="1">
      <c r="D703" s="42"/>
      <c r="E703" s="42"/>
    </row>
    <row r="704" ht="15.75" customHeight="1">
      <c r="D704" s="42"/>
      <c r="E704" s="42"/>
    </row>
    <row r="705" ht="15.75" customHeight="1">
      <c r="D705" s="42"/>
      <c r="E705" s="42"/>
    </row>
    <row r="706" ht="15.75" customHeight="1">
      <c r="D706" s="42"/>
      <c r="E706" s="42"/>
    </row>
    <row r="707" ht="15.75" customHeight="1">
      <c r="D707" s="42"/>
      <c r="E707" s="42"/>
    </row>
    <row r="708" ht="15.75" customHeight="1">
      <c r="D708" s="42"/>
      <c r="E708" s="42"/>
    </row>
    <row r="709" ht="15.75" customHeight="1">
      <c r="D709" s="42"/>
      <c r="E709" s="42"/>
    </row>
    <row r="710" ht="15.75" customHeight="1">
      <c r="D710" s="42"/>
      <c r="E710" s="42"/>
    </row>
    <row r="711" ht="15.75" customHeight="1">
      <c r="D711" s="42"/>
      <c r="E711" s="42"/>
    </row>
    <row r="712" ht="15.75" customHeight="1">
      <c r="D712" s="42"/>
      <c r="E712" s="42"/>
    </row>
    <row r="713" ht="15.75" customHeight="1">
      <c r="D713" s="42"/>
      <c r="E713" s="42"/>
    </row>
    <row r="714" ht="15.75" customHeight="1">
      <c r="D714" s="42"/>
      <c r="E714" s="42"/>
    </row>
    <row r="715" ht="15.75" customHeight="1">
      <c r="D715" s="42"/>
      <c r="E715" s="42"/>
    </row>
    <row r="716" ht="15.75" customHeight="1">
      <c r="D716" s="42"/>
      <c r="E716" s="42"/>
    </row>
    <row r="717" ht="15.75" customHeight="1">
      <c r="D717" s="42"/>
      <c r="E717" s="42"/>
    </row>
    <row r="718" ht="15.75" customHeight="1">
      <c r="D718" s="42"/>
      <c r="E718" s="42"/>
    </row>
    <row r="719" ht="15.75" customHeight="1">
      <c r="D719" s="42"/>
      <c r="E719" s="42"/>
    </row>
    <row r="720" ht="15.75" customHeight="1">
      <c r="D720" s="42"/>
      <c r="E720" s="42"/>
    </row>
    <row r="721" ht="15.75" customHeight="1">
      <c r="D721" s="42"/>
      <c r="E721" s="42"/>
    </row>
    <row r="722" ht="15.75" customHeight="1">
      <c r="D722" s="42"/>
      <c r="E722" s="42"/>
    </row>
    <row r="723" ht="15.75" customHeight="1">
      <c r="D723" s="42"/>
      <c r="E723" s="42"/>
    </row>
    <row r="724" ht="15.75" customHeight="1">
      <c r="D724" s="42"/>
      <c r="E724" s="42"/>
    </row>
    <row r="725" ht="15.75" customHeight="1">
      <c r="D725" s="42"/>
      <c r="E725" s="42"/>
    </row>
    <row r="726" ht="15.75" customHeight="1">
      <c r="D726" s="42"/>
      <c r="E726" s="42"/>
    </row>
    <row r="727" ht="15.75" customHeight="1">
      <c r="D727" s="42"/>
      <c r="E727" s="42"/>
    </row>
    <row r="728" ht="15.75" customHeight="1">
      <c r="D728" s="42"/>
      <c r="E728" s="42"/>
    </row>
    <row r="729" ht="15.75" customHeight="1">
      <c r="D729" s="42"/>
      <c r="E729" s="42"/>
    </row>
    <row r="730" ht="15.75" customHeight="1">
      <c r="D730" s="42"/>
      <c r="E730" s="42"/>
    </row>
    <row r="731" ht="15.75" customHeight="1">
      <c r="D731" s="42"/>
      <c r="E731" s="42"/>
    </row>
    <row r="732" ht="15.75" customHeight="1">
      <c r="D732" s="42"/>
      <c r="E732" s="42"/>
    </row>
    <row r="733" ht="15.75" customHeight="1">
      <c r="D733" s="42"/>
      <c r="E733" s="42"/>
    </row>
    <row r="734" ht="15.75" customHeight="1">
      <c r="D734" s="42"/>
      <c r="E734" s="42"/>
    </row>
    <row r="735" ht="15.75" customHeight="1">
      <c r="D735" s="42"/>
      <c r="E735" s="42"/>
    </row>
    <row r="736" ht="15.75" customHeight="1">
      <c r="D736" s="42"/>
      <c r="E736" s="42"/>
    </row>
    <row r="737" ht="15.75" customHeight="1">
      <c r="D737" s="42"/>
      <c r="E737" s="42"/>
    </row>
    <row r="738" ht="15.75" customHeight="1">
      <c r="D738" s="42"/>
      <c r="E738" s="42"/>
    </row>
    <row r="739" ht="15.75" customHeight="1">
      <c r="D739" s="42"/>
      <c r="E739" s="42"/>
    </row>
    <row r="740" ht="15.75" customHeight="1">
      <c r="D740" s="42"/>
      <c r="E740" s="42"/>
    </row>
    <row r="741" ht="15.75" customHeight="1">
      <c r="D741" s="42"/>
      <c r="E741" s="42"/>
    </row>
    <row r="742" ht="15.75" customHeight="1">
      <c r="D742" s="42"/>
      <c r="E742" s="42"/>
    </row>
    <row r="743" ht="15.75" customHeight="1">
      <c r="D743" s="42"/>
      <c r="E743" s="42"/>
    </row>
    <row r="744" ht="15.75" customHeight="1">
      <c r="D744" s="42"/>
      <c r="E744" s="42"/>
    </row>
    <row r="745" ht="15.75" customHeight="1">
      <c r="D745" s="42"/>
      <c r="E745" s="42"/>
    </row>
    <row r="746" ht="15.75" customHeight="1">
      <c r="D746" s="42"/>
      <c r="E746" s="42"/>
    </row>
    <row r="747" ht="15.75" customHeight="1">
      <c r="D747" s="42"/>
      <c r="E747" s="42"/>
    </row>
    <row r="748" ht="15.75" customHeight="1">
      <c r="D748" s="42"/>
      <c r="E748" s="42"/>
    </row>
    <row r="749" ht="15.75" customHeight="1">
      <c r="D749" s="42"/>
      <c r="E749" s="42"/>
    </row>
    <row r="750" ht="15.75" customHeight="1">
      <c r="D750" s="42"/>
      <c r="E750" s="42"/>
    </row>
    <row r="751" ht="15.75" customHeight="1">
      <c r="D751" s="42"/>
      <c r="E751" s="42"/>
    </row>
    <row r="752" ht="15.75" customHeight="1">
      <c r="D752" s="42"/>
      <c r="E752" s="42"/>
    </row>
    <row r="753" ht="15.75" customHeight="1">
      <c r="D753" s="42"/>
      <c r="E753" s="42"/>
    </row>
    <row r="754" ht="15.75" customHeight="1">
      <c r="D754" s="42"/>
      <c r="E754" s="42"/>
    </row>
    <row r="755" ht="15.75" customHeight="1">
      <c r="D755" s="42"/>
      <c r="E755" s="42"/>
    </row>
    <row r="756" ht="15.75" customHeight="1">
      <c r="D756" s="42"/>
      <c r="E756" s="42"/>
    </row>
    <row r="757" ht="15.75" customHeight="1">
      <c r="D757" s="42"/>
      <c r="E757" s="42"/>
    </row>
    <row r="758" ht="15.75" customHeight="1">
      <c r="D758" s="42"/>
      <c r="E758" s="42"/>
    </row>
    <row r="759" ht="15.75" customHeight="1">
      <c r="D759" s="42"/>
      <c r="E759" s="42"/>
    </row>
    <row r="760" ht="15.75" customHeight="1">
      <c r="D760" s="42"/>
      <c r="E760" s="42"/>
    </row>
    <row r="761" ht="15.75" customHeight="1">
      <c r="D761" s="42"/>
      <c r="E761" s="42"/>
    </row>
    <row r="762" ht="15.75" customHeight="1">
      <c r="D762" s="42"/>
      <c r="E762" s="42"/>
    </row>
    <row r="763" ht="15.75" customHeight="1">
      <c r="D763" s="42"/>
      <c r="E763" s="42"/>
    </row>
    <row r="764" ht="15.75" customHeight="1">
      <c r="D764" s="42"/>
      <c r="E764" s="42"/>
    </row>
    <row r="765" ht="15.75" customHeight="1">
      <c r="D765" s="42"/>
      <c r="E765" s="42"/>
    </row>
    <row r="766" ht="15.75" customHeight="1">
      <c r="D766" s="42"/>
      <c r="E766" s="42"/>
    </row>
    <row r="767" ht="15.75" customHeight="1">
      <c r="D767" s="42"/>
      <c r="E767" s="42"/>
    </row>
    <row r="768" ht="15.75" customHeight="1">
      <c r="D768" s="42"/>
      <c r="E768" s="42"/>
    </row>
    <row r="769" ht="15.75" customHeight="1">
      <c r="D769" s="42"/>
      <c r="E769" s="42"/>
    </row>
    <row r="770" ht="15.75" customHeight="1">
      <c r="D770" s="42"/>
      <c r="E770" s="42"/>
    </row>
    <row r="771" ht="15.75" customHeight="1">
      <c r="D771" s="42"/>
      <c r="E771" s="42"/>
    </row>
    <row r="772" ht="15.75" customHeight="1">
      <c r="D772" s="42"/>
      <c r="E772" s="42"/>
    </row>
    <row r="773" ht="15.75" customHeight="1">
      <c r="D773" s="42"/>
      <c r="E773" s="42"/>
    </row>
    <row r="774" ht="15.75" customHeight="1">
      <c r="D774" s="42"/>
      <c r="E774" s="42"/>
    </row>
    <row r="775" ht="15.75" customHeight="1">
      <c r="D775" s="42"/>
      <c r="E775" s="42"/>
    </row>
    <row r="776" ht="15.75" customHeight="1">
      <c r="D776" s="42"/>
      <c r="E776" s="42"/>
    </row>
    <row r="777" ht="15.75" customHeight="1">
      <c r="D777" s="42"/>
      <c r="E777" s="42"/>
    </row>
    <row r="778" ht="15.75" customHeight="1">
      <c r="D778" s="42"/>
      <c r="E778" s="42"/>
    </row>
    <row r="779" ht="15.75" customHeight="1">
      <c r="D779" s="42"/>
      <c r="E779" s="42"/>
    </row>
    <row r="780" ht="15.75" customHeight="1">
      <c r="D780" s="42"/>
      <c r="E780" s="42"/>
    </row>
    <row r="781" ht="15.75" customHeight="1">
      <c r="D781" s="42"/>
      <c r="E781" s="42"/>
    </row>
    <row r="782" ht="15.75" customHeight="1">
      <c r="D782" s="42"/>
      <c r="E782" s="42"/>
    </row>
    <row r="783" ht="15.75" customHeight="1">
      <c r="D783" s="42"/>
      <c r="E783" s="42"/>
    </row>
    <row r="784" ht="15.75" customHeight="1">
      <c r="D784" s="42"/>
      <c r="E784" s="42"/>
    </row>
    <row r="785" ht="15.75" customHeight="1">
      <c r="D785" s="42"/>
      <c r="E785" s="42"/>
    </row>
    <row r="786" ht="15.75" customHeight="1">
      <c r="D786" s="42"/>
      <c r="E786" s="42"/>
    </row>
    <row r="787" ht="15.75" customHeight="1">
      <c r="D787" s="42"/>
      <c r="E787" s="42"/>
    </row>
    <row r="788" ht="15.75" customHeight="1">
      <c r="D788" s="42"/>
      <c r="E788" s="42"/>
    </row>
    <row r="789" ht="15.75" customHeight="1">
      <c r="D789" s="42"/>
      <c r="E789" s="42"/>
    </row>
    <row r="790" ht="15.75" customHeight="1">
      <c r="D790" s="42"/>
      <c r="E790" s="42"/>
    </row>
    <row r="791" ht="15.75" customHeight="1">
      <c r="D791" s="42"/>
      <c r="E791" s="42"/>
    </row>
    <row r="792" ht="15.75" customHeight="1">
      <c r="D792" s="42"/>
      <c r="E792" s="42"/>
    </row>
    <row r="793" ht="15.75" customHeight="1">
      <c r="D793" s="42"/>
      <c r="E793" s="42"/>
    </row>
    <row r="794" ht="15.75" customHeight="1">
      <c r="D794" s="42"/>
      <c r="E794" s="42"/>
    </row>
    <row r="795" ht="15.75" customHeight="1">
      <c r="D795" s="42"/>
      <c r="E795" s="42"/>
    </row>
    <row r="796" ht="15.75" customHeight="1">
      <c r="D796" s="42"/>
      <c r="E796" s="42"/>
    </row>
    <row r="797" ht="15.75" customHeight="1">
      <c r="D797" s="42"/>
      <c r="E797" s="42"/>
    </row>
    <row r="798" ht="15.75" customHeight="1">
      <c r="D798" s="42"/>
      <c r="E798" s="42"/>
    </row>
    <row r="799" ht="15.75" customHeight="1">
      <c r="D799" s="42"/>
      <c r="E799" s="42"/>
    </row>
    <row r="800" ht="15.75" customHeight="1">
      <c r="D800" s="42"/>
      <c r="E800" s="42"/>
    </row>
    <row r="801" ht="15.75" customHeight="1">
      <c r="D801" s="42"/>
      <c r="E801" s="42"/>
    </row>
    <row r="802" ht="15.75" customHeight="1">
      <c r="D802" s="42"/>
      <c r="E802" s="42"/>
    </row>
    <row r="803" ht="15.75" customHeight="1">
      <c r="D803" s="42"/>
      <c r="E803" s="42"/>
    </row>
    <row r="804" ht="15.75" customHeight="1">
      <c r="D804" s="42"/>
      <c r="E804" s="42"/>
    </row>
    <row r="805" ht="15.75" customHeight="1">
      <c r="D805" s="42"/>
      <c r="E805" s="42"/>
    </row>
    <row r="806" ht="15.75" customHeight="1">
      <c r="D806" s="42"/>
      <c r="E806" s="42"/>
    </row>
    <row r="807" ht="15.75" customHeight="1">
      <c r="D807" s="42"/>
      <c r="E807" s="42"/>
    </row>
    <row r="808" ht="15.75" customHeight="1">
      <c r="D808" s="42"/>
      <c r="E808" s="42"/>
    </row>
    <row r="809" ht="15.75" customHeight="1">
      <c r="D809" s="42"/>
      <c r="E809" s="42"/>
    </row>
    <row r="810" ht="15.75" customHeight="1">
      <c r="D810" s="42"/>
      <c r="E810" s="42"/>
    </row>
    <row r="811" ht="15.75" customHeight="1">
      <c r="D811" s="42"/>
      <c r="E811" s="42"/>
    </row>
    <row r="812" ht="15.75" customHeight="1">
      <c r="D812" s="42"/>
      <c r="E812" s="42"/>
    </row>
    <row r="813" ht="15.75" customHeight="1">
      <c r="D813" s="42"/>
      <c r="E813" s="42"/>
    </row>
    <row r="814" ht="15.75" customHeight="1">
      <c r="D814" s="42"/>
      <c r="E814" s="42"/>
    </row>
    <row r="815" ht="15.75" customHeight="1">
      <c r="D815" s="42"/>
      <c r="E815" s="42"/>
    </row>
    <row r="816" ht="15.75" customHeight="1">
      <c r="D816" s="42"/>
      <c r="E816" s="42"/>
    </row>
    <row r="817" ht="15.75" customHeight="1">
      <c r="D817" s="42"/>
      <c r="E817" s="42"/>
    </row>
    <row r="818" ht="15.75" customHeight="1">
      <c r="D818" s="42"/>
      <c r="E818" s="42"/>
    </row>
    <row r="819" ht="15.75" customHeight="1">
      <c r="D819" s="42"/>
      <c r="E819" s="42"/>
    </row>
    <row r="820" ht="15.75" customHeight="1">
      <c r="D820" s="42"/>
      <c r="E820" s="42"/>
    </row>
    <row r="821" ht="15.75" customHeight="1">
      <c r="D821" s="42"/>
      <c r="E821" s="42"/>
    </row>
    <row r="822" ht="15.75" customHeight="1">
      <c r="D822" s="42"/>
      <c r="E822" s="42"/>
    </row>
    <row r="823" ht="15.75" customHeight="1">
      <c r="D823" s="42"/>
      <c r="E823" s="42"/>
    </row>
    <row r="824" ht="15.75" customHeight="1">
      <c r="D824" s="42"/>
      <c r="E824" s="42"/>
    </row>
    <row r="825" ht="15.75" customHeight="1">
      <c r="D825" s="42"/>
      <c r="E825" s="42"/>
    </row>
    <row r="826" ht="15.75" customHeight="1">
      <c r="D826" s="42"/>
      <c r="E826" s="42"/>
    </row>
    <row r="827" ht="15.75" customHeight="1">
      <c r="D827" s="42"/>
      <c r="E827" s="42"/>
    </row>
    <row r="828" ht="15.75" customHeight="1">
      <c r="D828" s="42"/>
      <c r="E828" s="42"/>
    </row>
    <row r="829" ht="15.75" customHeight="1">
      <c r="D829" s="42"/>
      <c r="E829" s="42"/>
    </row>
    <row r="830" ht="15.75" customHeight="1">
      <c r="D830" s="42"/>
      <c r="E830" s="42"/>
    </row>
    <row r="831" ht="15.75" customHeight="1">
      <c r="D831" s="42"/>
      <c r="E831" s="42"/>
    </row>
    <row r="832" ht="15.75" customHeight="1">
      <c r="D832" s="42"/>
      <c r="E832" s="42"/>
    </row>
    <row r="833" ht="15.75" customHeight="1">
      <c r="D833" s="42"/>
      <c r="E833" s="42"/>
    </row>
    <row r="834" ht="15.75" customHeight="1">
      <c r="D834" s="42"/>
      <c r="E834" s="42"/>
    </row>
    <row r="835" ht="15.75" customHeight="1">
      <c r="D835" s="42"/>
      <c r="E835" s="42"/>
    </row>
    <row r="836" ht="15.75" customHeight="1">
      <c r="D836" s="42"/>
      <c r="E836" s="42"/>
    </row>
    <row r="837" ht="15.75" customHeight="1">
      <c r="D837" s="42"/>
      <c r="E837" s="42"/>
    </row>
    <row r="838" ht="15.75" customHeight="1">
      <c r="D838" s="42"/>
      <c r="E838" s="42"/>
    </row>
    <row r="839" ht="15.75" customHeight="1">
      <c r="D839" s="42"/>
      <c r="E839" s="42"/>
    </row>
    <row r="840" ht="15.75" customHeight="1">
      <c r="D840" s="42"/>
      <c r="E840" s="42"/>
    </row>
    <row r="841" ht="15.75" customHeight="1">
      <c r="D841" s="42"/>
      <c r="E841" s="42"/>
    </row>
    <row r="842" ht="15.75" customHeight="1">
      <c r="D842" s="42"/>
      <c r="E842" s="42"/>
    </row>
    <row r="843" ht="15.75" customHeight="1">
      <c r="D843" s="42"/>
      <c r="E843" s="42"/>
    </row>
    <row r="844" ht="15.75" customHeight="1">
      <c r="D844" s="42"/>
      <c r="E844" s="42"/>
    </row>
    <row r="845" ht="15.75" customHeight="1">
      <c r="D845" s="42"/>
      <c r="E845" s="42"/>
    </row>
    <row r="846" ht="15.75" customHeight="1">
      <c r="D846" s="42"/>
      <c r="E846" s="42"/>
    </row>
    <row r="847" ht="15.75" customHeight="1">
      <c r="D847" s="42"/>
      <c r="E847" s="42"/>
    </row>
    <row r="848" ht="15.75" customHeight="1">
      <c r="D848" s="42"/>
      <c r="E848" s="42"/>
    </row>
    <row r="849" ht="15.75" customHeight="1">
      <c r="D849" s="42"/>
      <c r="E849" s="42"/>
    </row>
    <row r="850" ht="15.75" customHeight="1">
      <c r="D850" s="42"/>
      <c r="E850" s="42"/>
    </row>
    <row r="851" ht="15.75" customHeight="1">
      <c r="D851" s="42"/>
      <c r="E851" s="42"/>
    </row>
    <row r="852" ht="15.75" customHeight="1">
      <c r="D852" s="42"/>
      <c r="E852" s="42"/>
    </row>
    <row r="853" ht="15.75" customHeight="1">
      <c r="D853" s="42"/>
      <c r="E853" s="42"/>
    </row>
    <row r="854" ht="15.75" customHeight="1">
      <c r="D854" s="42"/>
      <c r="E854" s="42"/>
    </row>
    <row r="855" ht="15.75" customHeight="1">
      <c r="D855" s="42"/>
      <c r="E855" s="42"/>
    </row>
    <row r="856" ht="15.75" customHeight="1">
      <c r="D856" s="42"/>
      <c r="E856" s="42"/>
    </row>
    <row r="857" ht="15.75" customHeight="1">
      <c r="D857" s="42"/>
      <c r="E857" s="42"/>
    </row>
    <row r="858" ht="15.75" customHeight="1">
      <c r="D858" s="42"/>
      <c r="E858" s="42"/>
    </row>
    <row r="859" ht="15.75" customHeight="1">
      <c r="D859" s="42"/>
      <c r="E859" s="42"/>
    </row>
    <row r="860" ht="15.75" customHeight="1">
      <c r="D860" s="42"/>
      <c r="E860" s="42"/>
    </row>
    <row r="861" ht="15.75" customHeight="1">
      <c r="D861" s="42"/>
      <c r="E861" s="42"/>
    </row>
    <row r="862" ht="15.75" customHeight="1">
      <c r="D862" s="42"/>
      <c r="E862" s="42"/>
    </row>
    <row r="863" ht="15.75" customHeight="1">
      <c r="D863" s="42"/>
      <c r="E863" s="42"/>
    </row>
    <row r="864" ht="15.75" customHeight="1">
      <c r="D864" s="42"/>
      <c r="E864" s="42"/>
    </row>
    <row r="865" ht="15.75" customHeight="1">
      <c r="D865" s="42"/>
      <c r="E865" s="42"/>
    </row>
    <row r="866" ht="15.75" customHeight="1">
      <c r="D866" s="42"/>
      <c r="E866" s="42"/>
    </row>
    <row r="867" ht="15.75" customHeight="1">
      <c r="D867" s="42"/>
      <c r="E867" s="42"/>
    </row>
    <row r="868" ht="15.75" customHeight="1">
      <c r="D868" s="42"/>
      <c r="E868" s="42"/>
    </row>
    <row r="869" ht="15.75" customHeight="1">
      <c r="D869" s="42"/>
      <c r="E869" s="42"/>
    </row>
    <row r="870" ht="15.75" customHeight="1">
      <c r="D870" s="42"/>
      <c r="E870" s="42"/>
    </row>
    <row r="871" ht="15.75" customHeight="1">
      <c r="D871" s="42"/>
      <c r="E871" s="42"/>
    </row>
    <row r="872" ht="15.75" customHeight="1">
      <c r="D872" s="42"/>
      <c r="E872" s="42"/>
    </row>
    <row r="873" ht="15.75" customHeight="1">
      <c r="D873" s="42"/>
      <c r="E873" s="42"/>
    </row>
    <row r="874" ht="15.75" customHeight="1">
      <c r="D874" s="42"/>
      <c r="E874" s="42"/>
    </row>
    <row r="875" ht="15.75" customHeight="1">
      <c r="D875" s="42"/>
      <c r="E875" s="42"/>
    </row>
    <row r="876" ht="15.75" customHeight="1">
      <c r="D876" s="42"/>
      <c r="E876" s="42"/>
    </row>
    <row r="877" ht="15.75" customHeight="1">
      <c r="D877" s="42"/>
      <c r="E877" s="42"/>
    </row>
    <row r="878" ht="15.75" customHeight="1">
      <c r="D878" s="42"/>
      <c r="E878" s="42"/>
    </row>
    <row r="879" ht="15.75" customHeight="1">
      <c r="D879" s="42"/>
      <c r="E879" s="42"/>
    </row>
    <row r="880" ht="15.75" customHeight="1">
      <c r="D880" s="42"/>
      <c r="E880" s="42"/>
    </row>
    <row r="881" ht="15.75" customHeight="1">
      <c r="D881" s="42"/>
      <c r="E881" s="42"/>
    </row>
    <row r="882" ht="15.75" customHeight="1">
      <c r="D882" s="42"/>
      <c r="E882" s="42"/>
    </row>
    <row r="883" ht="15.75" customHeight="1">
      <c r="D883" s="42"/>
      <c r="E883" s="42"/>
    </row>
    <row r="884" ht="15.75" customHeight="1">
      <c r="D884" s="42"/>
      <c r="E884" s="42"/>
    </row>
    <row r="885" ht="15.75" customHeight="1">
      <c r="D885" s="42"/>
      <c r="E885" s="42"/>
    </row>
    <row r="886" ht="15.75" customHeight="1">
      <c r="D886" s="42"/>
      <c r="E886" s="42"/>
    </row>
    <row r="887" ht="15.75" customHeight="1">
      <c r="D887" s="42"/>
      <c r="E887" s="42"/>
    </row>
    <row r="888" ht="15.75" customHeight="1">
      <c r="D888" s="42"/>
      <c r="E888" s="42"/>
    </row>
    <row r="889" ht="15.75" customHeight="1">
      <c r="D889" s="42"/>
      <c r="E889" s="42"/>
    </row>
    <row r="890" ht="15.75" customHeight="1">
      <c r="D890" s="42"/>
      <c r="E890" s="42"/>
    </row>
    <row r="891" ht="15.75" customHeight="1">
      <c r="D891" s="42"/>
      <c r="E891" s="42"/>
    </row>
    <row r="892" ht="15.75" customHeight="1">
      <c r="D892" s="42"/>
      <c r="E892" s="42"/>
    </row>
    <row r="893" ht="15.75" customHeight="1">
      <c r="D893" s="42"/>
      <c r="E893" s="42"/>
    </row>
    <row r="894" ht="15.75" customHeight="1">
      <c r="D894" s="42"/>
      <c r="E894" s="42"/>
    </row>
    <row r="895" ht="15.75" customHeight="1">
      <c r="D895" s="42"/>
      <c r="E895" s="42"/>
    </row>
    <row r="896" ht="15.75" customHeight="1">
      <c r="D896" s="42"/>
      <c r="E896" s="42"/>
    </row>
    <row r="897" ht="15.75" customHeight="1">
      <c r="D897" s="42"/>
      <c r="E897" s="42"/>
    </row>
    <row r="898" ht="15.75" customHeight="1">
      <c r="D898" s="42"/>
      <c r="E898" s="42"/>
    </row>
    <row r="899" ht="15.75" customHeight="1">
      <c r="D899" s="42"/>
      <c r="E899" s="42"/>
    </row>
    <row r="900" ht="15.75" customHeight="1">
      <c r="D900" s="42"/>
      <c r="E900" s="42"/>
    </row>
    <row r="901" ht="15.75" customHeight="1">
      <c r="D901" s="42"/>
      <c r="E901" s="42"/>
    </row>
    <row r="902" ht="15.75" customHeight="1">
      <c r="D902" s="42"/>
      <c r="E902" s="42"/>
    </row>
    <row r="903" ht="15.75" customHeight="1">
      <c r="D903" s="42"/>
      <c r="E903" s="42"/>
    </row>
    <row r="904" ht="15.75" customHeight="1">
      <c r="D904" s="42"/>
      <c r="E904" s="42"/>
    </row>
    <row r="905" ht="15.75" customHeight="1">
      <c r="D905" s="42"/>
      <c r="E905" s="42"/>
    </row>
    <row r="906" ht="15.75" customHeight="1">
      <c r="D906" s="42"/>
      <c r="E906" s="42"/>
    </row>
    <row r="907" ht="15.75" customHeight="1">
      <c r="D907" s="42"/>
      <c r="E907" s="42"/>
    </row>
    <row r="908" ht="15.75" customHeight="1">
      <c r="D908" s="42"/>
      <c r="E908" s="42"/>
    </row>
    <row r="909" ht="15.75" customHeight="1">
      <c r="D909" s="42"/>
      <c r="E909" s="42"/>
    </row>
    <row r="910" ht="15.75" customHeight="1">
      <c r="D910" s="42"/>
      <c r="E910" s="42"/>
    </row>
    <row r="911" ht="15.75" customHeight="1">
      <c r="D911" s="42"/>
      <c r="E911" s="42"/>
    </row>
    <row r="912" ht="15.75" customHeight="1">
      <c r="D912" s="42"/>
      <c r="E912" s="42"/>
    </row>
    <row r="913" ht="15.75" customHeight="1">
      <c r="D913" s="42"/>
      <c r="E913" s="42"/>
    </row>
    <row r="914" ht="15.75" customHeight="1">
      <c r="D914" s="42"/>
      <c r="E914" s="42"/>
    </row>
    <row r="915" ht="15.75" customHeight="1">
      <c r="D915" s="42"/>
      <c r="E915" s="42"/>
    </row>
    <row r="916" ht="15.75" customHeight="1">
      <c r="D916" s="42"/>
      <c r="E916" s="42"/>
    </row>
    <row r="917" ht="15.75" customHeight="1">
      <c r="D917" s="42"/>
      <c r="E917" s="42"/>
    </row>
    <row r="918" ht="15.75" customHeight="1">
      <c r="D918" s="42"/>
      <c r="E918" s="42"/>
    </row>
    <row r="919" ht="15.75" customHeight="1">
      <c r="D919" s="42"/>
      <c r="E919" s="42"/>
    </row>
    <row r="920" ht="15.75" customHeight="1">
      <c r="D920" s="42"/>
      <c r="E920" s="42"/>
    </row>
    <row r="921" ht="15.75" customHeight="1">
      <c r="D921" s="42"/>
      <c r="E921" s="42"/>
    </row>
    <row r="922" ht="15.75" customHeight="1">
      <c r="D922" s="42"/>
      <c r="E922" s="42"/>
    </row>
    <row r="923" ht="15.75" customHeight="1">
      <c r="D923" s="42"/>
      <c r="E923" s="42"/>
    </row>
    <row r="924" ht="15.75" customHeight="1">
      <c r="D924" s="42"/>
      <c r="E924" s="42"/>
    </row>
    <row r="925" ht="15.75" customHeight="1">
      <c r="D925" s="42"/>
      <c r="E925" s="42"/>
    </row>
    <row r="926" ht="15.75" customHeight="1">
      <c r="D926" s="42"/>
      <c r="E926" s="42"/>
    </row>
    <row r="927" ht="15.75" customHeight="1">
      <c r="D927" s="42"/>
      <c r="E927" s="42"/>
    </row>
    <row r="928" ht="15.75" customHeight="1">
      <c r="D928" s="42"/>
      <c r="E928" s="42"/>
    </row>
    <row r="929" ht="15.75" customHeight="1">
      <c r="D929" s="42"/>
      <c r="E929" s="42"/>
    </row>
    <row r="930" ht="15.75" customHeight="1">
      <c r="D930" s="42"/>
      <c r="E930" s="42"/>
    </row>
    <row r="931" ht="15.75" customHeight="1">
      <c r="D931" s="42"/>
      <c r="E931" s="42"/>
    </row>
    <row r="932" ht="15.75" customHeight="1">
      <c r="D932" s="42"/>
      <c r="E932" s="42"/>
    </row>
    <row r="933" ht="15.75" customHeight="1">
      <c r="D933" s="42"/>
      <c r="E933" s="42"/>
    </row>
    <row r="934" ht="15.75" customHeight="1">
      <c r="D934" s="42"/>
      <c r="E934" s="42"/>
    </row>
    <row r="935" ht="15.75" customHeight="1">
      <c r="D935" s="42"/>
      <c r="E935" s="42"/>
    </row>
    <row r="936" ht="15.75" customHeight="1">
      <c r="D936" s="42"/>
      <c r="E936" s="42"/>
    </row>
    <row r="937" ht="15.75" customHeight="1">
      <c r="D937" s="42"/>
      <c r="E937" s="42"/>
    </row>
    <row r="938" ht="15.75" customHeight="1">
      <c r="D938" s="42"/>
      <c r="E938" s="42"/>
    </row>
    <row r="939" ht="15.75" customHeight="1">
      <c r="D939" s="42"/>
      <c r="E939" s="42"/>
    </row>
    <row r="940" ht="15.75" customHeight="1">
      <c r="D940" s="42"/>
      <c r="E940" s="42"/>
    </row>
    <row r="941" ht="15.75" customHeight="1">
      <c r="D941" s="42"/>
      <c r="E941" s="42"/>
    </row>
    <row r="942" ht="15.75" customHeight="1">
      <c r="D942" s="42"/>
      <c r="E942" s="42"/>
    </row>
    <row r="943" ht="15.75" customHeight="1">
      <c r="D943" s="42"/>
      <c r="E943" s="42"/>
    </row>
    <row r="944" ht="15.75" customHeight="1">
      <c r="D944" s="42"/>
      <c r="E944" s="42"/>
    </row>
    <row r="945" ht="15.75" customHeight="1">
      <c r="D945" s="42"/>
      <c r="E945" s="42"/>
    </row>
    <row r="946" ht="15.75" customHeight="1">
      <c r="D946" s="42"/>
      <c r="E946" s="42"/>
    </row>
    <row r="947" ht="15.75" customHeight="1">
      <c r="D947" s="42"/>
      <c r="E947" s="42"/>
    </row>
    <row r="948" ht="15.75" customHeight="1">
      <c r="D948" s="42"/>
      <c r="E948" s="42"/>
    </row>
    <row r="949" ht="15.75" customHeight="1">
      <c r="D949" s="42"/>
      <c r="E949" s="42"/>
    </row>
    <row r="950" ht="15.75" customHeight="1">
      <c r="D950" s="42"/>
      <c r="E950" s="42"/>
    </row>
    <row r="951" ht="15.75" customHeight="1">
      <c r="D951" s="42"/>
      <c r="E951" s="42"/>
    </row>
    <row r="952" ht="15.75" customHeight="1">
      <c r="D952" s="42"/>
      <c r="E952" s="42"/>
    </row>
    <row r="953" ht="15.75" customHeight="1">
      <c r="D953" s="42"/>
      <c r="E953" s="42"/>
    </row>
    <row r="954" ht="15.75" customHeight="1">
      <c r="D954" s="42"/>
      <c r="E954" s="42"/>
    </row>
    <row r="955" ht="15.75" customHeight="1">
      <c r="D955" s="42"/>
      <c r="E955" s="42"/>
    </row>
    <row r="956" ht="15.75" customHeight="1">
      <c r="D956" s="42"/>
      <c r="E956" s="42"/>
    </row>
    <row r="957" ht="15.75" customHeight="1">
      <c r="D957" s="42"/>
      <c r="E957" s="42"/>
    </row>
    <row r="958" ht="15.75" customHeight="1">
      <c r="D958" s="42"/>
      <c r="E958" s="42"/>
    </row>
    <row r="959" ht="15.75" customHeight="1">
      <c r="D959" s="42"/>
      <c r="E959" s="42"/>
    </row>
    <row r="960" ht="15.75" customHeight="1">
      <c r="D960" s="42"/>
      <c r="E960" s="42"/>
    </row>
    <row r="961" ht="15.75" customHeight="1">
      <c r="D961" s="42"/>
      <c r="E961" s="42"/>
    </row>
    <row r="962" ht="15.75" customHeight="1">
      <c r="D962" s="42"/>
      <c r="E962" s="42"/>
    </row>
    <row r="963" ht="15.75" customHeight="1">
      <c r="D963" s="42"/>
      <c r="E963" s="42"/>
    </row>
    <row r="964" ht="15.75" customHeight="1">
      <c r="D964" s="42"/>
      <c r="E964" s="42"/>
    </row>
    <row r="965" ht="15.75" customHeight="1">
      <c r="D965" s="42"/>
      <c r="E965" s="42"/>
    </row>
    <row r="966" ht="15.75" customHeight="1">
      <c r="D966" s="42"/>
      <c r="E966" s="42"/>
    </row>
    <row r="967" ht="15.75" customHeight="1">
      <c r="D967" s="42"/>
      <c r="E967" s="42"/>
    </row>
    <row r="968" ht="15.75" customHeight="1">
      <c r="D968" s="42"/>
      <c r="E968" s="42"/>
    </row>
    <row r="969" ht="15.75" customHeight="1">
      <c r="D969" s="42"/>
      <c r="E969" s="42"/>
    </row>
    <row r="970" ht="15.75" customHeight="1">
      <c r="D970" s="42"/>
      <c r="E970" s="42"/>
    </row>
    <row r="971" ht="15.75" customHeight="1">
      <c r="D971" s="42"/>
      <c r="E971" s="42"/>
    </row>
    <row r="972" ht="15.75" customHeight="1">
      <c r="D972" s="42"/>
      <c r="E972" s="42"/>
    </row>
    <row r="973" ht="15.75" customHeight="1">
      <c r="D973" s="42"/>
      <c r="E973" s="42"/>
    </row>
    <row r="974" ht="15.75" customHeight="1">
      <c r="D974" s="42"/>
      <c r="E974" s="42"/>
    </row>
    <row r="975" ht="15.75" customHeight="1">
      <c r="D975" s="42"/>
      <c r="E975" s="42"/>
    </row>
    <row r="976" ht="15.75" customHeight="1">
      <c r="D976" s="42"/>
      <c r="E976" s="42"/>
    </row>
    <row r="977" ht="15.75" customHeight="1">
      <c r="D977" s="42"/>
      <c r="E977" s="42"/>
    </row>
    <row r="978" ht="15.75" customHeight="1">
      <c r="D978" s="42"/>
      <c r="E978" s="42"/>
    </row>
    <row r="979" ht="15.75" customHeight="1">
      <c r="D979" s="42"/>
      <c r="E979" s="42"/>
    </row>
    <row r="980" ht="15.75" customHeight="1">
      <c r="D980" s="42"/>
      <c r="E980" s="42"/>
    </row>
    <row r="981" ht="15.75" customHeight="1">
      <c r="D981" s="42"/>
      <c r="E981" s="42"/>
    </row>
    <row r="982" ht="15.75" customHeight="1">
      <c r="D982" s="42"/>
      <c r="E982" s="42"/>
    </row>
    <row r="983" ht="15.75" customHeight="1">
      <c r="D983" s="42"/>
      <c r="E983" s="42"/>
    </row>
    <row r="984" ht="15.75" customHeight="1">
      <c r="D984" s="42"/>
      <c r="E984" s="42"/>
    </row>
    <row r="985" ht="15.75" customHeight="1">
      <c r="D985" s="42"/>
      <c r="E985" s="42"/>
    </row>
    <row r="986" ht="15.75" customHeight="1">
      <c r="D986" s="42"/>
      <c r="E986" s="42"/>
    </row>
    <row r="987" ht="15.75" customHeight="1">
      <c r="D987" s="42"/>
      <c r="E987" s="42"/>
    </row>
    <row r="988" ht="15.75" customHeight="1">
      <c r="D988" s="42"/>
      <c r="E988" s="42"/>
    </row>
    <row r="989" ht="15.75" customHeight="1">
      <c r="D989" s="42"/>
      <c r="E989" s="42"/>
    </row>
    <row r="990" ht="15.75" customHeight="1">
      <c r="D990" s="42"/>
      <c r="E990" s="42"/>
    </row>
    <row r="991" ht="15.75" customHeight="1">
      <c r="D991" s="42"/>
      <c r="E991" s="42"/>
    </row>
    <row r="992" ht="15.75" customHeight="1">
      <c r="D992" s="42"/>
      <c r="E992" s="42"/>
    </row>
    <row r="993" ht="15.75" customHeight="1">
      <c r="D993" s="42"/>
      <c r="E993" s="42"/>
    </row>
    <row r="994" ht="15.75" customHeight="1">
      <c r="D994" s="42"/>
      <c r="E994" s="42"/>
    </row>
    <row r="995" ht="15.75" customHeight="1">
      <c r="D995" s="42"/>
      <c r="E995" s="42"/>
    </row>
    <row r="996" ht="15.75" customHeight="1">
      <c r="D996" s="42"/>
      <c r="E996" s="42"/>
    </row>
    <row r="997" ht="15.75" customHeight="1">
      <c r="D997" s="42"/>
      <c r="E997" s="42"/>
    </row>
    <row r="998" ht="15.75" customHeight="1">
      <c r="D998" s="42"/>
      <c r="E998" s="42"/>
    </row>
    <row r="999" ht="15.75" customHeight="1">
      <c r="D999" s="42"/>
      <c r="E999" s="42"/>
    </row>
    <row r="1000" ht="15.75" customHeight="1">
      <c r="D1000" s="42"/>
      <c r="E1000" s="42"/>
    </row>
  </sheetData>
  <mergeCells count="15">
    <mergeCell ref="E6:E7"/>
    <mergeCell ref="F6:J6"/>
    <mergeCell ref="A23:C23"/>
    <mergeCell ref="A24:E24"/>
    <mergeCell ref="K6:O6"/>
    <mergeCell ref="Q6:U6"/>
    <mergeCell ref="W6:AA6"/>
    <mergeCell ref="AC6:AG6"/>
    <mergeCell ref="A1:AG2"/>
    <mergeCell ref="A3:AG4"/>
    <mergeCell ref="A5:AG5"/>
    <mergeCell ref="A6:A7"/>
    <mergeCell ref="B6:B7"/>
    <mergeCell ref="C6:C7"/>
    <mergeCell ref="D6:D7"/>
  </mergeCells>
  <printOptions/>
  <pageMargins bottom="0.2" footer="0.0" header="0.0" left="0.2" right="0.2" top="0.2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9.0"/>
    <col customWidth="1" min="3" max="3" width="37.0"/>
    <col customWidth="1" min="4" max="5" width="9.0"/>
    <col customWidth="1" min="6" max="6" width="10.71"/>
    <col customWidth="1" min="7" max="8" width="9.0"/>
    <col customWidth="1" min="9" max="9" width="63.43"/>
    <col customWidth="1" min="10" max="10" width="10.71"/>
    <col customWidth="1" min="11" max="11" width="14.14"/>
    <col customWidth="1" min="12" max="12" width="14.29"/>
    <col customWidth="1" min="13" max="13" width="9.0"/>
    <col customWidth="1" min="14" max="14" width="70.43"/>
    <col customWidth="1" min="15" max="15" width="11.71"/>
    <col customWidth="1" min="16" max="16" width="12.43"/>
    <col customWidth="1" min="17" max="17" width="13.86"/>
    <col customWidth="1" min="18" max="18" width="9.0"/>
    <col customWidth="1" min="19" max="19" width="76.14"/>
    <col customWidth="1" min="20" max="20" width="11.29"/>
    <col customWidth="1" min="21" max="21" width="11.71"/>
    <col customWidth="1" min="22" max="25" width="9.0"/>
    <col customWidth="1" min="26" max="26" width="9.43"/>
    <col customWidth="1" hidden="1" min="27" max="27" width="59.86"/>
    <col customWidth="1" hidden="1" min="28" max="28" width="68.14"/>
    <col customWidth="1" min="29" max="29" width="9.0"/>
  </cols>
  <sheetData>
    <row r="1">
      <c r="A1" s="137" t="s">
        <v>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/>
    </row>
    <row r="2">
      <c r="A2" s="138" t="s">
        <v>70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8"/>
    </row>
    <row r="3">
      <c r="A3" s="139"/>
      <c r="B3" s="140"/>
      <c r="C3" s="141" t="s">
        <v>71</v>
      </c>
      <c r="D3" s="142" t="s">
        <v>72</v>
      </c>
      <c r="E3" s="142"/>
      <c r="F3" s="142"/>
      <c r="G3" s="142"/>
      <c r="H3" s="142"/>
      <c r="I3" s="143"/>
      <c r="J3" s="143"/>
      <c r="K3" s="143"/>
      <c r="L3" s="143"/>
      <c r="M3" s="143"/>
      <c r="N3" s="144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5"/>
    </row>
    <row r="4">
      <c r="A4" s="146"/>
      <c r="B4" s="147" t="s">
        <v>73</v>
      </c>
      <c r="C4" s="147" t="s">
        <v>74</v>
      </c>
      <c r="D4" s="147" t="s">
        <v>75</v>
      </c>
      <c r="E4" s="148" t="s">
        <v>76</v>
      </c>
      <c r="F4" s="149" t="s">
        <v>8</v>
      </c>
      <c r="G4" s="150"/>
      <c r="H4" s="151"/>
      <c r="I4" s="152"/>
      <c r="J4" s="149" t="s">
        <v>9</v>
      </c>
      <c r="K4" s="150"/>
      <c r="L4" s="150"/>
      <c r="M4" s="151"/>
      <c r="N4" s="153"/>
      <c r="O4" s="154" t="s">
        <v>77</v>
      </c>
      <c r="P4" s="7"/>
      <c r="Q4" s="7"/>
      <c r="R4" s="8"/>
      <c r="S4" s="155"/>
      <c r="T4" s="156" t="s">
        <v>11</v>
      </c>
      <c r="U4" s="156"/>
      <c r="V4" s="157"/>
      <c r="W4" s="158"/>
      <c r="X4" s="154" t="s">
        <v>78</v>
      </c>
      <c r="Y4" s="7"/>
      <c r="Z4" s="7"/>
      <c r="AA4" s="7"/>
      <c r="AB4" s="7"/>
      <c r="AC4" s="105"/>
    </row>
    <row r="5">
      <c r="A5" s="146"/>
      <c r="B5" s="11"/>
      <c r="C5" s="11"/>
      <c r="D5" s="11"/>
      <c r="E5" s="11"/>
      <c r="F5" s="159" t="s">
        <v>79</v>
      </c>
      <c r="G5" s="159" t="s">
        <v>80</v>
      </c>
      <c r="H5" s="160" t="s">
        <v>15</v>
      </c>
      <c r="I5" s="160" t="s">
        <v>81</v>
      </c>
      <c r="J5" s="159" t="s">
        <v>82</v>
      </c>
      <c r="K5" s="159" t="s">
        <v>83</v>
      </c>
      <c r="L5" s="161" t="s">
        <v>84</v>
      </c>
      <c r="M5" s="160" t="s">
        <v>15</v>
      </c>
      <c r="N5" s="162" t="s">
        <v>85</v>
      </c>
      <c r="O5" s="159" t="s">
        <v>86</v>
      </c>
      <c r="P5" s="159" t="s">
        <v>87</v>
      </c>
      <c r="Q5" s="161" t="s">
        <v>88</v>
      </c>
      <c r="R5" s="160" t="s">
        <v>15</v>
      </c>
      <c r="S5" s="162" t="s">
        <v>85</v>
      </c>
      <c r="T5" s="159" t="s">
        <v>89</v>
      </c>
      <c r="U5" s="159" t="s">
        <v>90</v>
      </c>
      <c r="V5" s="161" t="s">
        <v>91</v>
      </c>
      <c r="W5" s="160" t="s">
        <v>15</v>
      </c>
      <c r="X5" s="163" t="s">
        <v>92</v>
      </c>
      <c r="Y5" s="7"/>
      <c r="Z5" s="7"/>
      <c r="AA5" s="7"/>
      <c r="AB5" s="7"/>
      <c r="AC5" s="8"/>
    </row>
    <row r="6">
      <c r="A6" s="164"/>
      <c r="B6" s="165">
        <v>1.0</v>
      </c>
      <c r="C6" s="166" t="s">
        <v>16</v>
      </c>
      <c r="D6" s="167" t="s">
        <v>17</v>
      </c>
      <c r="E6" s="168">
        <v>70.79</v>
      </c>
      <c r="F6" s="169">
        <v>1788.0</v>
      </c>
      <c r="G6" s="169">
        <v>0.0</v>
      </c>
      <c r="H6" s="170">
        <f t="shared" ref="H6:H12" si="1">G6/F6</f>
        <v>0</v>
      </c>
      <c r="I6" s="171"/>
      <c r="J6" s="169">
        <v>3875.0</v>
      </c>
      <c r="K6" s="16">
        <v>8.0</v>
      </c>
      <c r="L6" s="172">
        <f t="shared" ref="L6:L29" si="2">K6-G6</f>
        <v>8</v>
      </c>
      <c r="M6" s="170">
        <f t="shared" ref="M6:M29" si="3">K6/J6</f>
        <v>0.002064516129</v>
      </c>
      <c r="N6" s="171" t="s">
        <v>93</v>
      </c>
      <c r="O6" s="16">
        <v>5962.0</v>
      </c>
      <c r="P6" s="16">
        <v>0.0</v>
      </c>
      <c r="Q6" s="173"/>
      <c r="R6" s="114">
        <f t="shared" ref="R6:R29" si="4">P6/O6</f>
        <v>0</v>
      </c>
      <c r="S6" s="112"/>
      <c r="T6" s="169">
        <f t="shared" ref="T6:T8" si="5">F6/6*20</f>
        <v>5960</v>
      </c>
      <c r="U6" s="169"/>
      <c r="V6" s="172">
        <f t="shared" ref="V6:V29" si="6">U6-P6</f>
        <v>0</v>
      </c>
      <c r="W6" s="174">
        <f t="shared" ref="W6:W29" si="7">U6/T6</f>
        <v>0</v>
      </c>
      <c r="X6" s="175"/>
      <c r="Y6" s="176"/>
      <c r="Z6" s="176"/>
      <c r="AA6" s="176"/>
      <c r="AB6" s="176"/>
      <c r="AC6" s="177"/>
    </row>
    <row r="7">
      <c r="A7" s="164"/>
      <c r="B7" s="165">
        <v>2.0</v>
      </c>
      <c r="C7" s="166" t="s">
        <v>18</v>
      </c>
      <c r="D7" s="167" t="s">
        <v>17</v>
      </c>
      <c r="E7" s="168">
        <v>89.37</v>
      </c>
      <c r="F7" s="169">
        <v>1788.0</v>
      </c>
      <c r="G7" s="169">
        <v>0.0</v>
      </c>
      <c r="H7" s="170">
        <f t="shared" si="1"/>
        <v>0</v>
      </c>
      <c r="I7" s="178"/>
      <c r="J7" s="169">
        <v>3875.0</v>
      </c>
      <c r="K7" s="16">
        <v>115.0</v>
      </c>
      <c r="L7" s="172">
        <f t="shared" si="2"/>
        <v>115</v>
      </c>
      <c r="M7" s="170">
        <f t="shared" si="3"/>
        <v>0.02967741935</v>
      </c>
      <c r="N7" s="179" t="s">
        <v>94</v>
      </c>
      <c r="O7" s="16">
        <v>5962.0</v>
      </c>
      <c r="P7" s="16">
        <v>0.0</v>
      </c>
      <c r="Q7" s="173"/>
      <c r="R7" s="114">
        <f t="shared" si="4"/>
        <v>0</v>
      </c>
      <c r="S7" s="112"/>
      <c r="T7" s="169">
        <f t="shared" si="5"/>
        <v>5960</v>
      </c>
      <c r="U7" s="169"/>
      <c r="V7" s="172">
        <f t="shared" si="6"/>
        <v>0</v>
      </c>
      <c r="W7" s="174">
        <f t="shared" si="7"/>
        <v>0</v>
      </c>
      <c r="X7" s="180"/>
      <c r="Y7" s="181"/>
      <c r="Z7" s="181"/>
      <c r="AA7" s="181"/>
      <c r="AB7" s="181"/>
      <c r="AC7" s="182"/>
    </row>
    <row r="8">
      <c r="A8" s="164"/>
      <c r="B8" s="165">
        <v>3.0</v>
      </c>
      <c r="C8" s="166" t="s">
        <v>19</v>
      </c>
      <c r="D8" s="167" t="s">
        <v>17</v>
      </c>
      <c r="E8" s="168">
        <v>112.5</v>
      </c>
      <c r="F8" s="169">
        <v>2862.0</v>
      </c>
      <c r="G8" s="169">
        <v>0.0</v>
      </c>
      <c r="H8" s="170">
        <f t="shared" si="1"/>
        <v>0</v>
      </c>
      <c r="I8" s="183"/>
      <c r="J8" s="184">
        <v>6200.0</v>
      </c>
      <c r="K8" s="16">
        <v>3686.0</v>
      </c>
      <c r="L8" s="185">
        <f t="shared" si="2"/>
        <v>3686</v>
      </c>
      <c r="M8" s="186">
        <f t="shared" si="3"/>
        <v>0.594516129</v>
      </c>
      <c r="N8" s="187" t="s">
        <v>95</v>
      </c>
      <c r="O8" s="188">
        <v>9538.0</v>
      </c>
      <c r="P8" s="188">
        <v>0.0</v>
      </c>
      <c r="Q8" s="189"/>
      <c r="R8" s="190">
        <f t="shared" si="4"/>
        <v>0</v>
      </c>
      <c r="S8" s="191"/>
      <c r="T8" s="169">
        <f t="shared" si="5"/>
        <v>9540</v>
      </c>
      <c r="U8" s="169"/>
      <c r="V8" s="172">
        <f t="shared" si="6"/>
        <v>0</v>
      </c>
      <c r="W8" s="174">
        <f t="shared" si="7"/>
        <v>0</v>
      </c>
      <c r="X8" s="192"/>
      <c r="Y8" s="193"/>
      <c r="Z8" s="193"/>
      <c r="AA8" s="193"/>
      <c r="AB8" s="193"/>
      <c r="AC8" s="194"/>
    </row>
    <row r="9">
      <c r="A9" s="164"/>
      <c r="B9" s="195"/>
      <c r="C9" s="7"/>
      <c r="D9" s="8"/>
      <c r="E9" s="196"/>
      <c r="F9" s="197">
        <f>SUMPRODUCT(E6:E8,F6:F8)</f>
        <v>608341.08</v>
      </c>
      <c r="G9" s="197">
        <f>SUMPRODUCT(E6:E8,G6:G8)</f>
        <v>0</v>
      </c>
      <c r="H9" s="198">
        <f t="shared" si="1"/>
        <v>0</v>
      </c>
      <c r="I9" s="199"/>
      <c r="J9" s="200">
        <f>SUMPRODUCT(E6:E8,J6:J8)</f>
        <v>1318120</v>
      </c>
      <c r="K9" s="200">
        <f>SUMPRODUCT(E6:E8,K6:K8)</f>
        <v>425518.87</v>
      </c>
      <c r="L9" s="172">
        <f t="shared" si="2"/>
        <v>425518.87</v>
      </c>
      <c r="M9" s="201">
        <f t="shared" si="3"/>
        <v>0.3228225579</v>
      </c>
      <c r="N9" s="199"/>
      <c r="O9" s="200">
        <f>SUMPRODUCT(E6:E8,O6:O8)</f>
        <v>2027898.92</v>
      </c>
      <c r="P9" s="200">
        <f>SUMPRODUCT(E6:E8,P6:P8)</f>
        <v>0</v>
      </c>
      <c r="Q9" s="202"/>
      <c r="R9" s="203">
        <f t="shared" si="4"/>
        <v>0</v>
      </c>
      <c r="S9" s="204"/>
      <c r="T9" s="197">
        <f>SUMPRODUCT(E6:E8,T6:T8)</f>
        <v>2027803.6</v>
      </c>
      <c r="U9" s="197">
        <f>SUMPRODUCT(E6:E8,U6:U8)</f>
        <v>0</v>
      </c>
      <c r="V9" s="205">
        <f t="shared" si="6"/>
        <v>0</v>
      </c>
      <c r="W9" s="206">
        <f t="shared" si="7"/>
        <v>0</v>
      </c>
      <c r="X9" s="207" t="s">
        <v>96</v>
      </c>
      <c r="Y9" s="7"/>
      <c r="Z9" s="7"/>
      <c r="AA9" s="7"/>
      <c r="AB9" s="7"/>
      <c r="AC9" s="8"/>
    </row>
    <row r="10">
      <c r="A10" s="164"/>
      <c r="B10" s="165">
        <v>4.0</v>
      </c>
      <c r="C10" s="166" t="s">
        <v>20</v>
      </c>
      <c r="D10" s="167" t="s">
        <v>21</v>
      </c>
      <c r="E10" s="168">
        <v>55.23</v>
      </c>
      <c r="F10" s="169">
        <v>715.0</v>
      </c>
      <c r="G10" s="169">
        <v>0.0</v>
      </c>
      <c r="H10" s="170">
        <f t="shared" si="1"/>
        <v>0</v>
      </c>
      <c r="I10" s="171"/>
      <c r="J10" s="208">
        <v>1550.0</v>
      </c>
      <c r="K10" s="16">
        <v>0.0</v>
      </c>
      <c r="L10" s="209">
        <f t="shared" si="2"/>
        <v>0</v>
      </c>
      <c r="M10" s="210">
        <f t="shared" si="3"/>
        <v>0</v>
      </c>
      <c r="N10" s="171" t="s">
        <v>97</v>
      </c>
      <c r="O10" s="211">
        <v>2385.0</v>
      </c>
      <c r="P10" s="211">
        <v>0.0</v>
      </c>
      <c r="Q10" s="212"/>
      <c r="R10" s="213">
        <f t="shared" si="4"/>
        <v>0</v>
      </c>
      <c r="S10" s="214"/>
      <c r="T10" s="169">
        <f t="shared" ref="T10:T11" si="8">F10/6*20</f>
        <v>2383.333333</v>
      </c>
      <c r="U10" s="169"/>
      <c r="V10" s="172">
        <f t="shared" si="6"/>
        <v>0</v>
      </c>
      <c r="W10" s="174">
        <f t="shared" si="7"/>
        <v>0</v>
      </c>
      <c r="X10" s="215"/>
      <c r="Y10" s="216"/>
      <c r="Z10" s="216"/>
      <c r="AA10" s="216"/>
      <c r="AB10" s="216"/>
      <c r="AC10" s="217"/>
    </row>
    <row r="11">
      <c r="A11" s="164"/>
      <c r="B11" s="165">
        <v>5.0</v>
      </c>
      <c r="C11" s="166" t="s">
        <v>22</v>
      </c>
      <c r="D11" s="167" t="s">
        <v>23</v>
      </c>
      <c r="E11" s="168">
        <v>192.63</v>
      </c>
      <c r="F11" s="169">
        <v>687.0</v>
      </c>
      <c r="G11" s="169">
        <v>0.0</v>
      </c>
      <c r="H11" s="170">
        <f t="shared" si="1"/>
        <v>0</v>
      </c>
      <c r="I11" s="187"/>
      <c r="J11" s="184">
        <v>1488.0</v>
      </c>
      <c r="K11" s="16">
        <v>25.0</v>
      </c>
      <c r="L11" s="185">
        <f t="shared" si="2"/>
        <v>25</v>
      </c>
      <c r="M11" s="186">
        <f t="shared" si="3"/>
        <v>0.01680107527</v>
      </c>
      <c r="N11" s="187" t="s">
        <v>98</v>
      </c>
      <c r="O11" s="188">
        <v>2289.0</v>
      </c>
      <c r="P11" s="188">
        <v>0.0</v>
      </c>
      <c r="Q11" s="189"/>
      <c r="R11" s="190">
        <f t="shared" si="4"/>
        <v>0</v>
      </c>
      <c r="S11" s="218"/>
      <c r="T11" s="169">
        <f t="shared" si="8"/>
        <v>2290</v>
      </c>
      <c r="U11" s="169"/>
      <c r="V11" s="172">
        <f t="shared" si="6"/>
        <v>0</v>
      </c>
      <c r="W11" s="174">
        <f t="shared" si="7"/>
        <v>0</v>
      </c>
      <c r="X11" s="192"/>
      <c r="Y11" s="193"/>
      <c r="Z11" s="193"/>
      <c r="AA11" s="193"/>
      <c r="AB11" s="193"/>
      <c r="AC11" s="194"/>
    </row>
    <row r="12">
      <c r="A12" s="164"/>
      <c r="B12" s="195"/>
      <c r="C12" s="7"/>
      <c r="D12" s="8"/>
      <c r="E12" s="196"/>
      <c r="F12" s="197">
        <f>SUMPRODUCT(E10:E11,F10:F11)</f>
        <v>171826.26</v>
      </c>
      <c r="G12" s="197">
        <f>SUMPRODUCT(E10:E11,G10:G11)</f>
        <v>0</v>
      </c>
      <c r="H12" s="198">
        <f t="shared" si="1"/>
        <v>0</v>
      </c>
      <c r="I12" s="219"/>
      <c r="J12" s="197">
        <f>SUMPRODUCT(E10:E11,J10:J11)</f>
        <v>372239.94</v>
      </c>
      <c r="K12" s="197">
        <f>SUMPRODUCT(E9:E11,K9:K11)</f>
        <v>4815.75</v>
      </c>
      <c r="L12" s="205">
        <f t="shared" si="2"/>
        <v>4815.75</v>
      </c>
      <c r="M12" s="220">
        <f t="shared" si="3"/>
        <v>0.01293722001</v>
      </c>
      <c r="N12" s="221"/>
      <c r="O12" s="197">
        <f>SUMPRODUCT(E9:E11,O9:O11)</f>
        <v>572653.62</v>
      </c>
      <c r="P12" s="197">
        <f>SUMPRODUCT(E9:E11,P9:P11)</f>
        <v>0</v>
      </c>
      <c r="Q12" s="222"/>
      <c r="R12" s="223">
        <f t="shared" si="4"/>
        <v>0</v>
      </c>
      <c r="S12" s="221"/>
      <c r="T12" s="197">
        <f>SUMPRODUCT(E9:E11,T9:T11)</f>
        <v>572754.2</v>
      </c>
      <c r="U12" s="197">
        <f>SUMPRODUCT(E9:E11,U9:U11)</f>
        <v>0</v>
      </c>
      <c r="V12" s="205">
        <f t="shared" si="6"/>
        <v>0</v>
      </c>
      <c r="W12" s="224">
        <f t="shared" si="7"/>
        <v>0</v>
      </c>
      <c r="X12" s="207" t="s">
        <v>99</v>
      </c>
      <c r="Y12" s="7"/>
      <c r="Z12" s="7"/>
      <c r="AA12" s="7"/>
      <c r="AB12" s="7"/>
      <c r="AC12" s="8"/>
    </row>
    <row r="13">
      <c r="A13" s="164"/>
      <c r="B13" s="225">
        <v>6.0</v>
      </c>
      <c r="C13" s="166" t="s">
        <v>24</v>
      </c>
      <c r="D13" s="167" t="s">
        <v>23</v>
      </c>
      <c r="E13" s="168">
        <v>234.39</v>
      </c>
      <c r="F13" s="169">
        <v>107.0</v>
      </c>
      <c r="G13" s="169">
        <v>0.0</v>
      </c>
      <c r="H13" s="170">
        <v>0.0</v>
      </c>
      <c r="I13" s="179"/>
      <c r="J13" s="208">
        <v>233.0</v>
      </c>
      <c r="K13" s="16">
        <v>11.0</v>
      </c>
      <c r="L13" s="209">
        <f t="shared" si="2"/>
        <v>11</v>
      </c>
      <c r="M13" s="210">
        <f t="shared" si="3"/>
        <v>0.04721030043</v>
      </c>
      <c r="N13" s="179"/>
      <c r="O13" s="211">
        <v>358.0</v>
      </c>
      <c r="P13" s="211">
        <v>0.0</v>
      </c>
      <c r="Q13" s="212"/>
      <c r="R13" s="213">
        <f t="shared" si="4"/>
        <v>0</v>
      </c>
      <c r="S13" s="226"/>
      <c r="T13" s="169">
        <f t="shared" ref="T13:T14" si="9">F13/6*20</f>
        <v>356.6666667</v>
      </c>
      <c r="U13" s="169"/>
      <c r="V13" s="172">
        <f t="shared" si="6"/>
        <v>0</v>
      </c>
      <c r="W13" s="174">
        <f t="shared" si="7"/>
        <v>0</v>
      </c>
      <c r="X13" s="215"/>
      <c r="Y13" s="216"/>
      <c r="Z13" s="216"/>
      <c r="AA13" s="216"/>
      <c r="AB13" s="216"/>
      <c r="AC13" s="217"/>
    </row>
    <row r="14">
      <c r="A14" s="164"/>
      <c r="B14" s="225">
        <v>7.0</v>
      </c>
      <c r="C14" s="166" t="s">
        <v>99</v>
      </c>
      <c r="D14" s="167" t="s">
        <v>23</v>
      </c>
      <c r="E14" s="168">
        <v>700.4</v>
      </c>
      <c r="F14" s="169">
        <v>107.0</v>
      </c>
      <c r="G14" s="227">
        <v>0.0</v>
      </c>
      <c r="H14" s="170">
        <f>G14/F14</f>
        <v>0</v>
      </c>
      <c r="I14" s="183"/>
      <c r="J14" s="184">
        <v>233.0</v>
      </c>
      <c r="K14" s="16">
        <v>12.0</v>
      </c>
      <c r="L14" s="185">
        <f t="shared" si="2"/>
        <v>12</v>
      </c>
      <c r="M14" s="186">
        <f t="shared" si="3"/>
        <v>0.05150214592</v>
      </c>
      <c r="N14" s="187" t="s">
        <v>100</v>
      </c>
      <c r="O14" s="188">
        <v>358.0</v>
      </c>
      <c r="P14" s="188">
        <v>0.0</v>
      </c>
      <c r="Q14" s="189"/>
      <c r="R14" s="190">
        <f t="shared" si="4"/>
        <v>0</v>
      </c>
      <c r="S14" s="218"/>
      <c r="T14" s="169">
        <f t="shared" si="9"/>
        <v>356.6666667</v>
      </c>
      <c r="U14" s="169"/>
      <c r="V14" s="172">
        <f t="shared" si="6"/>
        <v>0</v>
      </c>
      <c r="W14" s="174">
        <f t="shared" si="7"/>
        <v>0</v>
      </c>
      <c r="X14" s="192"/>
      <c r="Y14" s="193"/>
      <c r="Z14" s="193"/>
      <c r="AA14" s="193"/>
      <c r="AB14" s="193"/>
      <c r="AC14" s="194"/>
    </row>
    <row r="15">
      <c r="A15" s="164"/>
      <c r="B15" s="195"/>
      <c r="C15" s="7"/>
      <c r="D15" s="8"/>
      <c r="E15" s="196"/>
      <c r="F15" s="197">
        <f>SUMPRODUCT(E13:E14,F13:F14)</f>
        <v>100022.53</v>
      </c>
      <c r="G15" s="197">
        <f>SUMPRODUCT(E13:E14,G13:G14)</f>
        <v>0</v>
      </c>
      <c r="H15" s="198">
        <v>0.0</v>
      </c>
      <c r="I15" s="228"/>
      <c r="J15" s="197">
        <f>SUMPRODUCT(E13:E14,J13:J14)</f>
        <v>217806.07</v>
      </c>
      <c r="K15" s="197">
        <f>SUMPRODUCT(E12:E14,K12:K14)</f>
        <v>10983.09</v>
      </c>
      <c r="L15" s="172">
        <f t="shared" si="2"/>
        <v>10983.09</v>
      </c>
      <c r="M15" s="198">
        <f t="shared" si="3"/>
        <v>0.05042600512</v>
      </c>
      <c r="N15" s="221"/>
      <c r="O15" s="197">
        <f>SUMPRODUCT(E12:E14,O12:O14)</f>
        <v>334654.82</v>
      </c>
      <c r="P15" s="197">
        <f>SUMPRODUCT(E12:E14,P12:P14)</f>
        <v>0</v>
      </c>
      <c r="Q15" s="202"/>
      <c r="R15" s="203">
        <f t="shared" si="4"/>
        <v>0</v>
      </c>
      <c r="S15" s="204"/>
      <c r="T15" s="197">
        <f>SUMPRODUCT(E12:E14,T12:T14)</f>
        <v>333408.4333</v>
      </c>
      <c r="U15" s="197">
        <f>SUMPRODUCT(E12:E14,U12:U14)</f>
        <v>0</v>
      </c>
      <c r="V15" s="205">
        <f t="shared" si="6"/>
        <v>0</v>
      </c>
      <c r="W15" s="224">
        <f t="shared" si="7"/>
        <v>0</v>
      </c>
      <c r="X15" s="207" t="s">
        <v>26</v>
      </c>
      <c r="Y15" s="7"/>
      <c r="Z15" s="7"/>
      <c r="AA15" s="7"/>
      <c r="AB15" s="7"/>
      <c r="AC15" s="8"/>
    </row>
    <row r="16">
      <c r="A16" s="164"/>
      <c r="B16" s="165">
        <v>8.0</v>
      </c>
      <c r="C16" s="166" t="s">
        <v>26</v>
      </c>
      <c r="D16" s="167" t="s">
        <v>21</v>
      </c>
      <c r="E16" s="168">
        <v>51.0</v>
      </c>
      <c r="F16" s="169">
        <v>1073.0</v>
      </c>
      <c r="G16" s="169">
        <v>0.0</v>
      </c>
      <c r="H16" s="170">
        <f t="shared" ref="H16:H29" si="10">G16/F16</f>
        <v>0</v>
      </c>
      <c r="I16" s="229"/>
      <c r="J16" s="230">
        <v>2325.0</v>
      </c>
      <c r="K16" s="16">
        <v>323.0</v>
      </c>
      <c r="L16" s="231">
        <f t="shared" si="2"/>
        <v>323</v>
      </c>
      <c r="M16" s="232">
        <f t="shared" si="3"/>
        <v>0.1389247312</v>
      </c>
      <c r="N16" s="229" t="s">
        <v>101</v>
      </c>
      <c r="O16" s="233">
        <v>3577.0</v>
      </c>
      <c r="P16" s="233">
        <v>0.0</v>
      </c>
      <c r="Q16" s="234"/>
      <c r="R16" s="235">
        <f t="shared" si="4"/>
        <v>0</v>
      </c>
      <c r="S16" s="229"/>
      <c r="T16" s="169">
        <f>F16/6*20</f>
        <v>3576.666667</v>
      </c>
      <c r="U16" s="169"/>
      <c r="V16" s="172">
        <f t="shared" si="6"/>
        <v>0</v>
      </c>
      <c r="W16" s="174">
        <f t="shared" si="7"/>
        <v>0</v>
      </c>
      <c r="X16" s="236"/>
      <c r="Y16" s="237"/>
      <c r="Z16" s="237"/>
      <c r="AA16" s="237"/>
      <c r="AB16" s="237"/>
      <c r="AC16" s="238"/>
    </row>
    <row r="17">
      <c r="A17" s="164"/>
      <c r="B17" s="195"/>
      <c r="C17" s="7"/>
      <c r="D17" s="8"/>
      <c r="E17" s="196"/>
      <c r="F17" s="197">
        <f>E16*F16</f>
        <v>54723</v>
      </c>
      <c r="G17" s="197">
        <f>E16*G16</f>
        <v>0</v>
      </c>
      <c r="H17" s="198">
        <f t="shared" si="10"/>
        <v>0</v>
      </c>
      <c r="I17" s="239"/>
      <c r="J17" s="197">
        <f>E16*J16</f>
        <v>118575</v>
      </c>
      <c r="K17" s="197">
        <f>K16*E16</f>
        <v>16473</v>
      </c>
      <c r="L17" s="172">
        <f t="shared" si="2"/>
        <v>16473</v>
      </c>
      <c r="M17" s="198">
        <f t="shared" si="3"/>
        <v>0.1389247312</v>
      </c>
      <c r="N17" s="221"/>
      <c r="O17" s="197">
        <f>SUMPRODUCT(E14:E16,O14:O16)</f>
        <v>433170.2</v>
      </c>
      <c r="P17" s="197">
        <f>SUMPRODUCT(E14:E16,P14:P16)</f>
        <v>0</v>
      </c>
      <c r="Q17" s="202"/>
      <c r="R17" s="203">
        <f t="shared" si="4"/>
        <v>0</v>
      </c>
      <c r="S17" s="240"/>
      <c r="T17" s="197">
        <f>SUMPRODUCT(E14:E16,T14:T16)</f>
        <v>432219.3333</v>
      </c>
      <c r="U17" s="197">
        <f>SUMPRODUCT(E14:E16,U14:U16)</f>
        <v>0</v>
      </c>
      <c r="V17" s="205">
        <f t="shared" si="6"/>
        <v>0</v>
      </c>
      <c r="W17" s="224">
        <f t="shared" si="7"/>
        <v>0</v>
      </c>
      <c r="X17" s="207" t="s">
        <v>102</v>
      </c>
      <c r="Y17" s="7"/>
      <c r="Z17" s="7"/>
      <c r="AA17" s="7"/>
      <c r="AB17" s="7"/>
      <c r="AC17" s="8"/>
    </row>
    <row r="18" ht="31.5" customHeight="1">
      <c r="A18" s="241"/>
      <c r="B18" s="165">
        <v>9.0</v>
      </c>
      <c r="C18" s="166" t="s">
        <v>27</v>
      </c>
      <c r="D18" s="167" t="s">
        <v>21</v>
      </c>
      <c r="E18" s="168">
        <v>189.25</v>
      </c>
      <c r="F18" s="169">
        <v>2003.0</v>
      </c>
      <c r="G18" s="169">
        <v>0.0</v>
      </c>
      <c r="H18" s="170">
        <f t="shared" si="10"/>
        <v>0</v>
      </c>
      <c r="I18" s="171"/>
      <c r="J18" s="208">
        <v>4340.0</v>
      </c>
      <c r="K18" s="16">
        <v>184.0</v>
      </c>
      <c r="L18" s="209">
        <f t="shared" si="2"/>
        <v>184</v>
      </c>
      <c r="M18" s="210">
        <f t="shared" si="3"/>
        <v>0.04239631336</v>
      </c>
      <c r="N18" s="242" t="s">
        <v>103</v>
      </c>
      <c r="O18" s="211">
        <v>6677.0</v>
      </c>
      <c r="P18" s="211">
        <v>0.0</v>
      </c>
      <c r="Q18" s="212"/>
      <c r="R18" s="213">
        <f t="shared" si="4"/>
        <v>0</v>
      </c>
      <c r="S18" s="171"/>
      <c r="T18" s="169">
        <f t="shared" ref="T18:T19" si="11">F18/6*20</f>
        <v>6676.666667</v>
      </c>
      <c r="U18" s="169"/>
      <c r="V18" s="172">
        <f t="shared" si="6"/>
        <v>0</v>
      </c>
      <c r="W18" s="174">
        <f t="shared" si="7"/>
        <v>0</v>
      </c>
      <c r="X18" s="215"/>
      <c r="Y18" s="216"/>
      <c r="Z18" s="216"/>
      <c r="AA18" s="216"/>
      <c r="AB18" s="216"/>
      <c r="AC18" s="217"/>
    </row>
    <row r="19" ht="33.0" customHeight="1">
      <c r="A19" s="243"/>
      <c r="B19" s="165">
        <v>10.0</v>
      </c>
      <c r="C19" s="166" t="s">
        <v>29</v>
      </c>
      <c r="D19" s="167" t="s">
        <v>23</v>
      </c>
      <c r="E19" s="168">
        <v>128.86</v>
      </c>
      <c r="F19" s="169">
        <v>1967.0</v>
      </c>
      <c r="G19" s="169">
        <v>0.0</v>
      </c>
      <c r="H19" s="170">
        <f t="shared" si="10"/>
        <v>0</v>
      </c>
      <c r="I19" s="229"/>
      <c r="J19" s="184">
        <v>4263.0</v>
      </c>
      <c r="K19" s="16">
        <v>8.0</v>
      </c>
      <c r="L19" s="185">
        <f t="shared" si="2"/>
        <v>8</v>
      </c>
      <c r="M19" s="186">
        <f t="shared" si="3"/>
        <v>0.001876612714</v>
      </c>
      <c r="N19" s="187" t="s">
        <v>104</v>
      </c>
      <c r="O19" s="188">
        <v>6558.0</v>
      </c>
      <c r="P19" s="188">
        <v>0.0</v>
      </c>
      <c r="Q19" s="189"/>
      <c r="R19" s="190">
        <f t="shared" si="4"/>
        <v>0</v>
      </c>
      <c r="S19" s="187"/>
      <c r="T19" s="169">
        <f t="shared" si="11"/>
        <v>6556.666667</v>
      </c>
      <c r="U19" s="169"/>
      <c r="V19" s="172">
        <f t="shared" si="6"/>
        <v>0</v>
      </c>
      <c r="W19" s="174">
        <f t="shared" si="7"/>
        <v>0</v>
      </c>
      <c r="X19" s="192"/>
      <c r="Y19" s="193"/>
      <c r="Z19" s="193"/>
      <c r="AA19" s="193"/>
      <c r="AB19" s="193"/>
      <c r="AC19" s="194"/>
    </row>
    <row r="20">
      <c r="A20" s="243"/>
      <c r="B20" s="195"/>
      <c r="C20" s="7"/>
      <c r="D20" s="8"/>
      <c r="E20" s="196"/>
      <c r="F20" s="197">
        <f>SUMPRODUCT(E18:E19,F18:F19)</f>
        <v>632535.37</v>
      </c>
      <c r="G20" s="197">
        <f>SUMPRODUCT(E18:E19,G18:G19)</f>
        <v>0</v>
      </c>
      <c r="H20" s="198">
        <f t="shared" si="10"/>
        <v>0</v>
      </c>
      <c r="I20" s="221"/>
      <c r="J20" s="197">
        <f>SUMPRODUCT(E18:E19,J18:J19)</f>
        <v>1370675.18</v>
      </c>
      <c r="K20" s="197">
        <f>K19*E19+K18*E18</f>
        <v>35852.88</v>
      </c>
      <c r="L20" s="172">
        <f t="shared" si="2"/>
        <v>35852.88</v>
      </c>
      <c r="M20" s="198">
        <f t="shared" si="3"/>
        <v>0.02615709435</v>
      </c>
      <c r="N20" s="221"/>
      <c r="O20" s="197">
        <f>SUMPRODUCT(E17:E19,O17:O19)</f>
        <v>2108686.13</v>
      </c>
      <c r="P20" s="197">
        <f>SUMPRODUCT(E17:E19,P17:P19)</f>
        <v>0</v>
      </c>
      <c r="Q20" s="202"/>
      <c r="R20" s="203">
        <f t="shared" si="4"/>
        <v>0</v>
      </c>
      <c r="S20" s="204"/>
      <c r="T20" s="197">
        <f>SUMPRODUCT(E17:E19,T17:T19)</f>
        <v>2108451.233</v>
      </c>
      <c r="U20" s="197">
        <f>SUMPRODUCT(E17:E19,U17:U19)</f>
        <v>0</v>
      </c>
      <c r="V20" s="205">
        <f t="shared" si="6"/>
        <v>0</v>
      </c>
      <c r="W20" s="224">
        <f t="shared" si="7"/>
        <v>0</v>
      </c>
      <c r="X20" s="207" t="s">
        <v>31</v>
      </c>
      <c r="Y20" s="7"/>
      <c r="Z20" s="7"/>
      <c r="AA20" s="7"/>
      <c r="AB20" s="7"/>
      <c r="AC20" s="8"/>
    </row>
    <row r="21" ht="15.75" customHeight="1">
      <c r="A21" s="243"/>
      <c r="B21" s="165">
        <v>11.0</v>
      </c>
      <c r="C21" s="166" t="s">
        <v>31</v>
      </c>
      <c r="D21" s="167" t="s">
        <v>105</v>
      </c>
      <c r="E21" s="168">
        <v>94.9</v>
      </c>
      <c r="F21" s="169">
        <v>2325.0</v>
      </c>
      <c r="G21" s="169">
        <v>0.0</v>
      </c>
      <c r="H21" s="170">
        <f t="shared" si="10"/>
        <v>0</v>
      </c>
      <c r="I21" s="229"/>
      <c r="J21" s="230">
        <v>5038.0</v>
      </c>
      <c r="K21" s="16">
        <v>246.0</v>
      </c>
      <c r="L21" s="231">
        <f t="shared" si="2"/>
        <v>246</v>
      </c>
      <c r="M21" s="232">
        <f t="shared" si="3"/>
        <v>0.04882890036</v>
      </c>
      <c r="N21" s="229" t="s">
        <v>106</v>
      </c>
      <c r="O21" s="233">
        <v>7750.0</v>
      </c>
      <c r="P21" s="233">
        <v>0.0</v>
      </c>
      <c r="Q21" s="234"/>
      <c r="R21" s="235">
        <f t="shared" si="4"/>
        <v>0</v>
      </c>
      <c r="S21" s="187"/>
      <c r="T21" s="169">
        <f>F21/6*20</f>
        <v>7750</v>
      </c>
      <c r="U21" s="169"/>
      <c r="V21" s="172">
        <f t="shared" si="6"/>
        <v>0</v>
      </c>
      <c r="W21" s="174">
        <f t="shared" si="7"/>
        <v>0</v>
      </c>
      <c r="X21" s="236"/>
      <c r="Y21" s="237"/>
      <c r="Z21" s="237"/>
      <c r="AA21" s="237"/>
      <c r="AB21" s="237"/>
      <c r="AC21" s="238"/>
    </row>
    <row r="22" ht="15.75" customHeight="1">
      <c r="A22" s="243"/>
      <c r="B22" s="195"/>
      <c r="C22" s="7"/>
      <c r="D22" s="8"/>
      <c r="E22" s="196"/>
      <c r="F22" s="197">
        <f>E21*F21</f>
        <v>220642.5</v>
      </c>
      <c r="G22" s="197">
        <v>0.0</v>
      </c>
      <c r="H22" s="198">
        <f t="shared" si="10"/>
        <v>0</v>
      </c>
      <c r="I22" s="221"/>
      <c r="J22" s="197">
        <f>E21*J21</f>
        <v>478106.2</v>
      </c>
      <c r="K22" s="197">
        <f>K21*E21</f>
        <v>23345.4</v>
      </c>
      <c r="L22" s="172">
        <f t="shared" si="2"/>
        <v>23345.4</v>
      </c>
      <c r="M22" s="198">
        <f t="shared" si="3"/>
        <v>0.04882890036</v>
      </c>
      <c r="N22" s="221"/>
      <c r="O22" s="197">
        <f>SUMPRODUCT(E19:E21,O19:O21)</f>
        <v>1580538.88</v>
      </c>
      <c r="P22" s="197">
        <f>SUMPRODUCT(E19:E21,P19:P21)</f>
        <v>0</v>
      </c>
      <c r="Q22" s="202"/>
      <c r="R22" s="203">
        <f t="shared" si="4"/>
        <v>0</v>
      </c>
      <c r="S22" s="204"/>
      <c r="T22" s="197">
        <f>SUMPRODUCT(E19:E21,T19:T21)</f>
        <v>1580367.067</v>
      </c>
      <c r="U22" s="197">
        <f>SUMPRODUCT(E19:E21,U19:U21)</f>
        <v>0</v>
      </c>
      <c r="V22" s="205">
        <f t="shared" si="6"/>
        <v>0</v>
      </c>
      <c r="W22" s="224">
        <f t="shared" si="7"/>
        <v>0</v>
      </c>
      <c r="X22" s="207" t="s">
        <v>107</v>
      </c>
      <c r="Y22" s="7"/>
      <c r="Z22" s="7"/>
      <c r="AA22" s="7"/>
      <c r="AB22" s="7"/>
      <c r="AC22" s="8"/>
    </row>
    <row r="23" ht="15.75" customHeight="1">
      <c r="A23" s="243"/>
      <c r="B23" s="165">
        <v>12.0</v>
      </c>
      <c r="C23" s="166" t="s">
        <v>107</v>
      </c>
      <c r="D23" s="167" t="s">
        <v>21</v>
      </c>
      <c r="E23" s="168">
        <v>85.53</v>
      </c>
      <c r="F23" s="169">
        <v>1967.0</v>
      </c>
      <c r="G23" s="169">
        <v>0.0</v>
      </c>
      <c r="H23" s="170">
        <f t="shared" si="10"/>
        <v>0</v>
      </c>
      <c r="I23" s="244"/>
      <c r="J23" s="230">
        <v>4263.0</v>
      </c>
      <c r="K23" s="16">
        <v>1023.0</v>
      </c>
      <c r="L23" s="231">
        <f t="shared" si="2"/>
        <v>1023</v>
      </c>
      <c r="M23" s="232">
        <f t="shared" si="3"/>
        <v>0.2399718508</v>
      </c>
      <c r="N23" s="244" t="s">
        <v>108</v>
      </c>
      <c r="O23" s="233">
        <v>6558.0</v>
      </c>
      <c r="P23" s="233">
        <v>0.0</v>
      </c>
      <c r="Q23" s="234"/>
      <c r="R23" s="235">
        <f t="shared" si="4"/>
        <v>0</v>
      </c>
      <c r="S23" s="187"/>
      <c r="T23" s="169">
        <f>F23/6*20</f>
        <v>6556.666667</v>
      </c>
      <c r="U23" s="169"/>
      <c r="V23" s="172">
        <f t="shared" si="6"/>
        <v>0</v>
      </c>
      <c r="W23" s="174">
        <f t="shared" si="7"/>
        <v>0</v>
      </c>
      <c r="X23" s="236"/>
      <c r="Y23" s="237"/>
      <c r="Z23" s="237"/>
      <c r="AA23" s="237"/>
      <c r="AB23" s="237"/>
      <c r="AC23" s="238"/>
    </row>
    <row r="24" ht="15.75" customHeight="1">
      <c r="A24" s="243"/>
      <c r="B24" s="195"/>
      <c r="C24" s="7"/>
      <c r="D24" s="8"/>
      <c r="E24" s="196"/>
      <c r="F24" s="197">
        <f>SUMPRODUCT(E23,F23)</f>
        <v>168237.51</v>
      </c>
      <c r="G24" s="197">
        <v>0.0</v>
      </c>
      <c r="H24" s="198">
        <f t="shared" si="10"/>
        <v>0</v>
      </c>
      <c r="I24" s="221"/>
      <c r="J24" s="197">
        <f>SUMPRODUCT(E23,J23)</f>
        <v>364614.39</v>
      </c>
      <c r="K24" s="197">
        <f>K23*E23</f>
        <v>87497.19</v>
      </c>
      <c r="L24" s="172">
        <f t="shared" si="2"/>
        <v>87497.19</v>
      </c>
      <c r="M24" s="198">
        <f t="shared" si="3"/>
        <v>0.2399718508</v>
      </c>
      <c r="N24" s="221"/>
      <c r="O24" s="197">
        <f>SUMPRODUCT(E21:E23,O21:O23)</f>
        <v>1296380.74</v>
      </c>
      <c r="P24" s="197">
        <f>SUMPRODUCT(E21:E23,P21:P23)</f>
        <v>0</v>
      </c>
      <c r="Q24" s="202"/>
      <c r="R24" s="203">
        <f t="shared" si="4"/>
        <v>0</v>
      </c>
      <c r="S24" s="204"/>
      <c r="T24" s="197">
        <f>SUMPRODUCT(E21:E23,T21:T23)</f>
        <v>1296266.7</v>
      </c>
      <c r="U24" s="197">
        <f>SUMPRODUCT(E21:E23,U21:U23)</f>
        <v>0</v>
      </c>
      <c r="V24" s="205">
        <f t="shared" si="6"/>
        <v>0</v>
      </c>
      <c r="W24" s="224">
        <f t="shared" si="7"/>
        <v>0</v>
      </c>
      <c r="X24" s="207" t="s">
        <v>109</v>
      </c>
      <c r="Y24" s="7"/>
      <c r="Z24" s="7"/>
      <c r="AA24" s="7"/>
      <c r="AB24" s="7"/>
      <c r="AC24" s="8"/>
    </row>
    <row r="25" ht="15.75" customHeight="1">
      <c r="A25" s="243"/>
      <c r="B25" s="165">
        <v>13.0</v>
      </c>
      <c r="C25" s="166" t="s">
        <v>35</v>
      </c>
      <c r="D25" s="167" t="s">
        <v>34</v>
      </c>
      <c r="E25" s="168">
        <v>64.65</v>
      </c>
      <c r="F25" s="169">
        <v>715.0</v>
      </c>
      <c r="G25" s="169">
        <v>0.0</v>
      </c>
      <c r="H25" s="170">
        <f t="shared" si="10"/>
        <v>0</v>
      </c>
      <c r="I25" s="171"/>
      <c r="J25" s="208">
        <v>1550.0</v>
      </c>
      <c r="K25" s="16">
        <v>0.0</v>
      </c>
      <c r="L25" s="209">
        <f t="shared" si="2"/>
        <v>0</v>
      </c>
      <c r="M25" s="210">
        <f t="shared" si="3"/>
        <v>0</v>
      </c>
      <c r="N25" s="171" t="s">
        <v>110</v>
      </c>
      <c r="O25" s="211">
        <v>2385.0</v>
      </c>
      <c r="P25" s="211">
        <v>0.0</v>
      </c>
      <c r="Q25" s="212"/>
      <c r="R25" s="213">
        <f t="shared" si="4"/>
        <v>0</v>
      </c>
      <c r="S25" s="171"/>
      <c r="T25" s="169">
        <f t="shared" ref="T25:T26" si="12">F25/6*20</f>
        <v>2383.333333</v>
      </c>
      <c r="U25" s="169"/>
      <c r="V25" s="172">
        <f t="shared" si="6"/>
        <v>0</v>
      </c>
      <c r="W25" s="174">
        <f t="shared" si="7"/>
        <v>0</v>
      </c>
      <c r="X25" s="215"/>
      <c r="Y25" s="216"/>
      <c r="Z25" s="216"/>
      <c r="AA25" s="216"/>
      <c r="AB25" s="216"/>
      <c r="AC25" s="217"/>
    </row>
    <row r="26" ht="15.75" customHeight="1">
      <c r="A26" s="243"/>
      <c r="B26" s="165">
        <v>14.0</v>
      </c>
      <c r="C26" s="166" t="s">
        <v>36</v>
      </c>
      <c r="D26" s="167" t="s">
        <v>28</v>
      </c>
      <c r="E26" s="168">
        <v>99.39</v>
      </c>
      <c r="F26" s="169">
        <v>537.0</v>
      </c>
      <c r="G26" s="169">
        <v>0.0</v>
      </c>
      <c r="H26" s="170">
        <f t="shared" si="10"/>
        <v>0</v>
      </c>
      <c r="I26" s="245"/>
      <c r="J26" s="184">
        <v>1163.0</v>
      </c>
      <c r="K26" s="16">
        <v>11.0</v>
      </c>
      <c r="L26" s="185">
        <f t="shared" si="2"/>
        <v>11</v>
      </c>
      <c r="M26" s="186">
        <f t="shared" si="3"/>
        <v>0.009458297506</v>
      </c>
      <c r="N26" s="245"/>
      <c r="O26" s="188">
        <v>1788.0</v>
      </c>
      <c r="P26" s="188">
        <v>0.0</v>
      </c>
      <c r="Q26" s="189"/>
      <c r="R26" s="190">
        <f t="shared" si="4"/>
        <v>0</v>
      </c>
      <c r="S26" s="246"/>
      <c r="T26" s="169">
        <f t="shared" si="12"/>
        <v>1790</v>
      </c>
      <c r="U26" s="169"/>
      <c r="V26" s="172">
        <f t="shared" si="6"/>
        <v>0</v>
      </c>
      <c r="W26" s="174">
        <f t="shared" si="7"/>
        <v>0</v>
      </c>
      <c r="X26" s="192"/>
      <c r="Y26" s="193"/>
      <c r="Z26" s="193"/>
      <c r="AA26" s="193"/>
      <c r="AB26" s="193"/>
      <c r="AC26" s="194"/>
    </row>
    <row r="27" ht="15.75" customHeight="1">
      <c r="A27" s="243"/>
      <c r="B27" s="195"/>
      <c r="C27" s="7"/>
      <c r="D27" s="8"/>
      <c r="E27" s="196"/>
      <c r="F27" s="197">
        <f>SUMPRODUCT(E25:E26,F25:F26)</f>
        <v>99597.18</v>
      </c>
      <c r="G27" s="197">
        <f>SUMPRODUCT(E25:E26,G25:G26)</f>
        <v>0</v>
      </c>
      <c r="H27" s="198">
        <f t="shared" si="10"/>
        <v>0</v>
      </c>
      <c r="I27" s="221"/>
      <c r="J27" s="197">
        <f>SUMPRODUCT(E25:E26,J25:J26)</f>
        <v>215798.07</v>
      </c>
      <c r="K27" s="197">
        <f>SUMPRODUCT(E24:E26,K24:K26)</f>
        <v>1093.29</v>
      </c>
      <c r="L27" s="172">
        <f t="shared" si="2"/>
        <v>1093.29</v>
      </c>
      <c r="M27" s="198">
        <f t="shared" si="3"/>
        <v>0.005066264031</v>
      </c>
      <c r="N27" s="221"/>
      <c r="O27" s="197">
        <f>SUMPRODUCT(E24:E26,O24:O26)</f>
        <v>331899.57</v>
      </c>
      <c r="P27" s="197">
        <f>SUMPRODUCT(E24:E26,P24:P26)</f>
        <v>0</v>
      </c>
      <c r="Q27" s="202"/>
      <c r="R27" s="203">
        <f t="shared" si="4"/>
        <v>0</v>
      </c>
      <c r="S27" s="204"/>
      <c r="T27" s="197">
        <f>SUMPRODUCT(E24:E26,T24:T26)</f>
        <v>331990.6</v>
      </c>
      <c r="U27" s="197">
        <f>SUMPRODUCT(E24:E26,U24:U26)</f>
        <v>0</v>
      </c>
      <c r="V27" s="205">
        <f t="shared" si="6"/>
        <v>0</v>
      </c>
      <c r="W27" s="224">
        <f t="shared" si="7"/>
        <v>0</v>
      </c>
      <c r="X27" s="207" t="s">
        <v>37</v>
      </c>
      <c r="Y27" s="7"/>
      <c r="Z27" s="7"/>
      <c r="AA27" s="7"/>
      <c r="AB27" s="7"/>
      <c r="AC27" s="8"/>
    </row>
    <row r="28" ht="15.75" customHeight="1">
      <c r="A28" s="243"/>
      <c r="B28" s="165">
        <v>15.0</v>
      </c>
      <c r="C28" s="166" t="s">
        <v>37</v>
      </c>
      <c r="D28" s="167" t="s">
        <v>21</v>
      </c>
      <c r="E28" s="168">
        <v>89.64</v>
      </c>
      <c r="F28" s="169">
        <v>1073.0</v>
      </c>
      <c r="G28" s="169">
        <v>0.0</v>
      </c>
      <c r="H28" s="170">
        <f t="shared" si="10"/>
        <v>0</v>
      </c>
      <c r="I28" s="244"/>
      <c r="J28" s="230">
        <v>2325.0</v>
      </c>
      <c r="K28" s="116">
        <v>357.0</v>
      </c>
      <c r="L28" s="231">
        <f t="shared" si="2"/>
        <v>357</v>
      </c>
      <c r="M28" s="232">
        <f t="shared" si="3"/>
        <v>0.1535483871</v>
      </c>
      <c r="N28" s="244" t="s">
        <v>111</v>
      </c>
      <c r="O28" s="233">
        <v>3577.0</v>
      </c>
      <c r="P28" s="233">
        <v>0.0</v>
      </c>
      <c r="Q28" s="234"/>
      <c r="R28" s="235">
        <f t="shared" si="4"/>
        <v>0</v>
      </c>
      <c r="S28" s="229"/>
      <c r="T28" s="169">
        <f>F28/6*20</f>
        <v>3576.666667</v>
      </c>
      <c r="U28" s="169"/>
      <c r="V28" s="172">
        <f t="shared" si="6"/>
        <v>0</v>
      </c>
      <c r="W28" s="174">
        <f t="shared" si="7"/>
        <v>0</v>
      </c>
      <c r="X28" s="236"/>
      <c r="Y28" s="237"/>
      <c r="Z28" s="237"/>
      <c r="AA28" s="237"/>
      <c r="AB28" s="237"/>
      <c r="AC28" s="238"/>
    </row>
    <row r="29" ht="15.75" customHeight="1">
      <c r="A29" s="9"/>
      <c r="B29" s="195"/>
      <c r="C29" s="7"/>
      <c r="D29" s="8"/>
      <c r="E29" s="196"/>
      <c r="F29" s="197">
        <f>E28*F28</f>
        <v>96183.72</v>
      </c>
      <c r="G29" s="197">
        <f>E28*G28</f>
        <v>0</v>
      </c>
      <c r="H29" s="198">
        <f t="shared" si="10"/>
        <v>0</v>
      </c>
      <c r="I29" s="221"/>
      <c r="J29" s="197">
        <f>E28*J28</f>
        <v>208413</v>
      </c>
      <c r="K29" s="197">
        <f>SUMPRODUCT(E26:E28,K26:K28)</f>
        <v>33094.77</v>
      </c>
      <c r="L29" s="172">
        <f t="shared" si="2"/>
        <v>33094.77</v>
      </c>
      <c r="M29" s="198">
        <f t="shared" si="3"/>
        <v>0.1587941731</v>
      </c>
      <c r="N29" s="221"/>
      <c r="O29" s="197">
        <f>SUMPRODUCT(E26:E28,O26:O28)</f>
        <v>498351.6</v>
      </c>
      <c r="P29" s="197">
        <f>SUMPRODUCT(E26:E28,P26:P28)</f>
        <v>0</v>
      </c>
      <c r="Q29" s="202"/>
      <c r="R29" s="203">
        <f t="shared" si="4"/>
        <v>0</v>
      </c>
      <c r="S29" s="204"/>
      <c r="T29" s="197">
        <f>SUMPRODUCT(E26:E28,T26:T28)</f>
        <v>498520.5</v>
      </c>
      <c r="U29" s="197">
        <f>SUMPRODUCT(E26:E28,U26:U28)</f>
        <v>0</v>
      </c>
      <c r="V29" s="205">
        <f t="shared" si="6"/>
        <v>0</v>
      </c>
      <c r="W29" s="224">
        <f t="shared" si="7"/>
        <v>0</v>
      </c>
      <c r="X29" s="207"/>
      <c r="Y29" s="7"/>
      <c r="Z29" s="7"/>
      <c r="AA29" s="7"/>
      <c r="AB29" s="7"/>
      <c r="AC29" s="8"/>
    </row>
    <row r="30" ht="15.75" customHeight="1">
      <c r="A30" s="136"/>
      <c r="B30" s="136"/>
      <c r="C30" s="247"/>
      <c r="D30" s="136"/>
      <c r="E30" s="136"/>
      <c r="F30" s="248"/>
      <c r="G30" s="248"/>
      <c r="H30" s="248"/>
      <c r="I30" s="248"/>
      <c r="J30" s="248"/>
      <c r="K30" s="248"/>
      <c r="L30" s="249"/>
      <c r="M30" s="248"/>
      <c r="N30" s="250"/>
      <c r="O30" s="248"/>
      <c r="P30" s="248"/>
      <c r="Q30" s="249"/>
      <c r="R30" s="248"/>
      <c r="S30" s="250"/>
      <c r="T30" s="248"/>
      <c r="U30" s="248"/>
      <c r="V30" s="172"/>
      <c r="W30" s="174"/>
      <c r="X30" s="251"/>
      <c r="AC30" s="252"/>
    </row>
    <row r="31" ht="15.75" customHeight="1">
      <c r="A31" s="253" t="s">
        <v>112</v>
      </c>
      <c r="B31" s="7"/>
      <c r="C31" s="7"/>
      <c r="D31" s="7"/>
      <c r="E31" s="8"/>
      <c r="F31" s="254">
        <f>SUM(F28,F26,F25,F23,F21,F19,F18,F16,F14,F13,F11,F10,F8,F7,F6)</f>
        <v>19714</v>
      </c>
      <c r="G31" s="254">
        <v>0.0</v>
      </c>
      <c r="H31" s="255">
        <f t="shared" ref="H31:H32" si="15">G31/F31</f>
        <v>0</v>
      </c>
      <c r="I31" s="255"/>
      <c r="J31" s="254">
        <f>J28+J26+J25+J23+J21+J19+J18+J16+J14+J13+J11+J10+J8+J7+J6</f>
        <v>42721</v>
      </c>
      <c r="K31" s="254">
        <f>SUM(K28,K26,K25,K23,K21,K19,K18,K16,K14,K13,K11,K10,K8,K7,K6)</f>
        <v>6009</v>
      </c>
      <c r="L31" s="256">
        <f>L28+L26+L25+L23+L21+L19+L18+L16+L14+L13+L11+L10+L8+L7+L6</f>
        <v>6009</v>
      </c>
      <c r="M31" s="257">
        <f t="shared" ref="M31:M32" si="16">K31/J31</f>
        <v>0.1406568198</v>
      </c>
      <c r="N31" s="258"/>
      <c r="O31" s="254">
        <f t="shared" ref="O31:P31" si="13">SUM(O28,O26,O25,O23,O21,O19,O18,O16,O14,O13,O11,O10,O8,O7,O6)</f>
        <v>65722</v>
      </c>
      <c r="P31" s="254">
        <f t="shared" si="13"/>
        <v>0</v>
      </c>
      <c r="Q31" s="256"/>
      <c r="R31" s="203">
        <f t="shared" ref="R31:R32" si="17">P31/O31</f>
        <v>0</v>
      </c>
      <c r="S31" s="258"/>
      <c r="T31" s="197">
        <f t="shared" ref="T31:U31" si="14">T28+T26+T25+T23+T21+T19+T18+T16+T14+T13+T11+T10+T8+T7+T6</f>
        <v>65713.33333</v>
      </c>
      <c r="U31" s="197">
        <f t="shared" si="14"/>
        <v>0</v>
      </c>
      <c r="V31" s="205">
        <f t="shared" ref="V31:V32" si="19">U31-P31</f>
        <v>0</v>
      </c>
      <c r="W31" s="224">
        <f t="shared" ref="W31:W32" si="20">U31/T31</f>
        <v>0</v>
      </c>
      <c r="X31" s="259"/>
      <c r="Y31" s="7"/>
      <c r="Z31" s="7"/>
      <c r="AA31" s="7"/>
      <c r="AB31" s="7"/>
      <c r="AC31" s="8"/>
    </row>
    <row r="32" ht="15.75" customHeight="1">
      <c r="A32" s="253" t="s">
        <v>113</v>
      </c>
      <c r="B32" s="7"/>
      <c r="C32" s="7"/>
      <c r="D32" s="7"/>
      <c r="E32" s="8"/>
      <c r="F32" s="254">
        <f>SUM(F29,F27,F24,F22,F20,F17,F15,F12,F9)</f>
        <v>2152109.15</v>
      </c>
      <c r="G32" s="254">
        <v>0.0</v>
      </c>
      <c r="H32" s="257">
        <f t="shared" si="15"/>
        <v>0</v>
      </c>
      <c r="I32" s="260"/>
      <c r="J32" s="254">
        <v>4677879.0</v>
      </c>
      <c r="K32" s="254">
        <f>K29+K27+K24+K22+K20+K17+K15+K12+K9</f>
        <v>638674.24</v>
      </c>
      <c r="L32" s="256">
        <f>SUM(L29,L27,L24,L22,L20,L17,L15,L12,L9)</f>
        <v>638674.24</v>
      </c>
      <c r="M32" s="257">
        <f t="shared" si="16"/>
        <v>0.1365307311</v>
      </c>
      <c r="N32" s="258"/>
      <c r="O32" s="254">
        <f>SUM(O29,O27,O24,O22,O20,O17,O15,O12,O9)</f>
        <v>9184234.48</v>
      </c>
      <c r="P32" s="254">
        <f>P29+P27+P24+P22+P20+P17+P15+P12+P9</f>
        <v>0</v>
      </c>
      <c r="Q32" s="256"/>
      <c r="R32" s="203">
        <f t="shared" si="17"/>
        <v>0</v>
      </c>
      <c r="S32" s="258"/>
      <c r="T32" s="254">
        <f t="shared" ref="T32:U32" si="18">T29+T27+T24+T22+T20+T17+T15+T12+T9</f>
        <v>9181781.667</v>
      </c>
      <c r="U32" s="254">
        <f t="shared" si="18"/>
        <v>0</v>
      </c>
      <c r="V32" s="205">
        <f t="shared" si="19"/>
        <v>0</v>
      </c>
      <c r="W32" s="224">
        <f t="shared" si="20"/>
        <v>0</v>
      </c>
      <c r="X32" s="259"/>
      <c r="Y32" s="7"/>
      <c r="Z32" s="7"/>
      <c r="AA32" s="7"/>
      <c r="AB32" s="7"/>
      <c r="AC32" s="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1:AC1"/>
    <mergeCell ref="A2:AC2"/>
    <mergeCell ref="B4:B5"/>
    <mergeCell ref="C4:C5"/>
    <mergeCell ref="D4:D5"/>
    <mergeCell ref="E4:E5"/>
    <mergeCell ref="F4:H4"/>
    <mergeCell ref="X4:AC4"/>
    <mergeCell ref="X5:AC5"/>
    <mergeCell ref="X6:AC6"/>
    <mergeCell ref="X7:AC7"/>
    <mergeCell ref="X8:AC8"/>
    <mergeCell ref="X9:AC9"/>
    <mergeCell ref="X10:AC10"/>
    <mergeCell ref="X11:AC11"/>
    <mergeCell ref="X12:AC12"/>
    <mergeCell ref="X13:AC13"/>
    <mergeCell ref="X14:AC14"/>
    <mergeCell ref="X15:AC15"/>
    <mergeCell ref="X16:AC16"/>
    <mergeCell ref="X17:AC17"/>
    <mergeCell ref="B20:D20"/>
    <mergeCell ref="B22:D22"/>
    <mergeCell ref="X25:AC25"/>
    <mergeCell ref="X26:AC26"/>
    <mergeCell ref="X27:AC27"/>
    <mergeCell ref="X28:AC28"/>
    <mergeCell ref="X29:AC29"/>
    <mergeCell ref="X30:AC30"/>
    <mergeCell ref="X31:AC31"/>
    <mergeCell ref="X32:AC32"/>
    <mergeCell ref="X18:AC18"/>
    <mergeCell ref="X19:AC19"/>
    <mergeCell ref="X20:AC20"/>
    <mergeCell ref="X21:AC21"/>
    <mergeCell ref="X22:AC22"/>
    <mergeCell ref="X23:AC23"/>
    <mergeCell ref="X24:AC24"/>
    <mergeCell ref="B24:D24"/>
    <mergeCell ref="B27:D27"/>
    <mergeCell ref="A31:E31"/>
    <mergeCell ref="A32:E32"/>
    <mergeCell ref="J4:M4"/>
    <mergeCell ref="O4:R4"/>
    <mergeCell ref="B9:D9"/>
    <mergeCell ref="B12:D12"/>
    <mergeCell ref="B15:D15"/>
    <mergeCell ref="B17:D17"/>
    <mergeCell ref="A18:A29"/>
    <mergeCell ref="B29:D29"/>
  </mergeCells>
  <printOptions/>
  <pageMargins bottom="0.75" footer="0.0" header="0.0" left="0.7" right="0.7" top="0.75"/>
  <pageSetup orientation="landscape"/>
  <drawing r:id="rId1"/>
</worksheet>
</file>